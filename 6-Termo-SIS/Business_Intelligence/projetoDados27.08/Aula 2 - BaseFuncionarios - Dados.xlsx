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viniciushorta\Documents\GitHub\6-Termo-SIS\Business_Intelligence\projetoDados27.08\"/>
    </mc:Choice>
  </mc:AlternateContent>
  <xr:revisionPtr revIDLastSave="0" documentId="8_{4862D0D4-10FD-430A-BCC2-39AA451AE6FF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Plan1" sheetId="1" r:id="rId1"/>
    <sheet name="Dinâmica" sheetId="2" r:id="rId2"/>
  </sheets>
  <definedNames>
    <definedName name="_xlnm._FilterDatabase" localSheetId="0" hidden="1">Plan1!$A$1:$AH$541</definedName>
  </definedNames>
  <calcPr calcId="179021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2" i="1"/>
  <c r="P541" i="1" l="1"/>
</calcChain>
</file>

<file path=xl/sharedStrings.xml><?xml version="1.0" encoding="utf-8"?>
<sst xmlns="http://schemas.openxmlformats.org/spreadsheetml/2006/main" count="6419" uniqueCount="1699">
  <si>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</si>
  <si>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</si>
  <si>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</si>
  <si>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</si>
  <si>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</si>
  <si>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</si>
  <si>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</si>
  <si>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</si>
  <si>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CEP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</si>
  <si>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</si>
  <si>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</si>
  <si>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</si>
  <si>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</si>
  <si>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</si>
  <si>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</si>
  <si>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</si>
  <si>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</si>
  <si>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Cargo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</si>
  <si>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</si>
  <si>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</si>
  <si>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</si>
  <si>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</si>
  <si>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</si>
  <si>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</si>
  <si>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</si>
  <si>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</si>
  <si>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Gabriel Mesquita</t>
  </si>
  <si>
    <t>gabriel.mesquita</t>
  </si>
  <si>
    <t/>
  </si>
  <si>
    <t>OPV</t>
  </si>
  <si>
    <t>UAK1729-MCG</t>
  </si>
  <si>
    <t>010</t>
  </si>
  <si>
    <t>João Haddad</t>
  </si>
  <si>
    <t>joão.haddad</t>
  </si>
  <si>
    <t>LOI</t>
  </si>
  <si>
    <t>QDI6697-POC</t>
  </si>
  <si>
    <t>545</t>
  </si>
  <si>
    <t>Amanda Marques Ribeiro</t>
  </si>
  <si>
    <t>amanda.ribeiro</t>
  </si>
  <si>
    <t>ADI</t>
  </si>
  <si>
    <t>AJB6796-ZAR</t>
  </si>
  <si>
    <t>213</t>
  </si>
  <si>
    <t>Guilherme Nunez</t>
  </si>
  <si>
    <t>guilherme.nunez</t>
  </si>
  <si>
    <t>ADII</t>
  </si>
  <si>
    <t>UXE5742-IZD</t>
  </si>
  <si>
    <t>Adelino Gomes</t>
  </si>
  <si>
    <t>adelino.gomes</t>
  </si>
  <si>
    <t>OKI6642-TSV</t>
  </si>
  <si>
    <t>Audir de Avila Goulart</t>
  </si>
  <si>
    <t>audir.goulart</t>
  </si>
  <si>
    <t>OPII</t>
  </si>
  <si>
    <t>EOZ6407-AHG</t>
  </si>
  <si>
    <t>Zilma Guimarães</t>
  </si>
  <si>
    <t>zilma.guimarães</t>
  </si>
  <si>
    <t>FIV</t>
  </si>
  <si>
    <t>NFQ7851-CCO</t>
  </si>
  <si>
    <t>322</t>
  </si>
  <si>
    <t>Gil Bonder</t>
  </si>
  <si>
    <t>gil.bonder</t>
  </si>
  <si>
    <t>PRS1638-RLS</t>
  </si>
  <si>
    <t>S</t>
  </si>
  <si>
    <t>Gustavo de Melo Teixeira</t>
  </si>
  <si>
    <t>gustavo.teixeira</t>
  </si>
  <si>
    <t>FIII</t>
  </si>
  <si>
    <t>NLT6797-NHJ</t>
  </si>
  <si>
    <t>Andre Campos</t>
  </si>
  <si>
    <t>andre.campos</t>
  </si>
  <si>
    <t>ADIII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</si>
  <si>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</si>
  <si>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</si>
  <si>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</si>
  <si>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</si>
  <si>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</si>
  <si>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</si>
  <si>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</si>
  <si>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</si>
  <si>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</si>
  <si>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LOIV</t>
  </si>
  <si>
    <t>JDK1450-NTV</t>
  </si>
  <si>
    <t>Jessica Oliveira Lima</t>
  </si>
  <si>
    <t>jessica.lima</t>
  </si>
  <si>
    <t>FII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</si>
  <si>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</si>
  <si>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</si>
  <si>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</si>
  <si>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</si>
  <si>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</si>
  <si>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</si>
  <si>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</si>
  <si>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</si>
  <si>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</si>
  <si>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LOIII</t>
  </si>
  <si>
    <t>YVU2316-INY</t>
  </si>
  <si>
    <t>Isabella Bernardo</t>
  </si>
  <si>
    <t>isabella.bernardo</t>
  </si>
  <si>
    <t>COIII</t>
  </si>
  <si>
    <t>QXK4553-WLP</t>
  </si>
  <si>
    <t>011</t>
  </si>
  <si>
    <t>Felipe Sousa Melo</t>
  </si>
  <si>
    <t>felipe.melo</t>
  </si>
  <si>
    <t>FPP1975-CAF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</si>
  <si>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</si>
  <si>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</si>
  <si>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</si>
  <si>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</si>
  <si>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</si>
  <si>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</si>
  <si>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</si>
  <si>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</si>
  <si>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COIV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</si>
  <si>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</si>
  <si>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</si>
  <si>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</si>
  <si>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</si>
  <si>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</si>
  <si>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</si>
  <si>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</si>
  <si>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</si>
  <si>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</si>
  <si>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ADV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</si>
  <si>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</si>
  <si>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</si>
  <si>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</si>
  <si>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</si>
  <si>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</si>
  <si>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</si>
  <si>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FIIII</t>
  </si>
  <si>
    <t>WRY5193-OZU</t>
  </si>
  <si>
    <t>Luís Werneck</t>
  </si>
  <si>
    <t>luís.werneck</t>
  </si>
  <si>
    <t>EKB6870-PBN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</si>
  <si>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</si>
  <si>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</si>
  <si>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</si>
  <si>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</si>
  <si>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</si>
  <si>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</si>
  <si>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</si>
  <si>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</si>
  <si>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LOII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</si>
  <si>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</si>
  <si>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</si>
  <si>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</si>
  <si>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</si>
  <si>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</si>
  <si>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</si>
  <si>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</si>
  <si>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</si>
  <si>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</si>
  <si>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OPIV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</si>
  <si>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</si>
  <si>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</si>
  <si>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</si>
  <si>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</si>
  <si>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</si>
  <si>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</si>
  <si>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COII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</si>
  <si>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</si>
  <si>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</si>
  <si>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</si>
  <si>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</si>
  <si>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</si>
  <si>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</si>
  <si>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OPI</t>
  </si>
  <si>
    <t>WWI4336-TYY</t>
  </si>
  <si>
    <t>Tomas Guadagnino</t>
  </si>
  <si>
    <t>tomas.guadagnino</t>
  </si>
  <si>
    <t>COI</t>
  </si>
  <si>
    <t>EQK5503-SKS</t>
  </si>
  <si>
    <t xml:space="preserve">Giovana de Oliveira e Mello     </t>
  </si>
  <si>
    <t>giovana.mello</t>
  </si>
  <si>
    <t>OPIII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</si>
  <si>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</si>
  <si>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</si>
  <si>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</si>
  <si>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</si>
  <si>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</si>
  <si>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</si>
  <si>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</si>
  <si>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</si>
  <si>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</si>
  <si>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</si>
  <si>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</si>
  <si>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</si>
  <si>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</si>
  <si>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</si>
  <si>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</si>
  <si>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</si>
  <si>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</si>
  <si>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</si>
  <si>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</si>
  <si>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</si>
  <si>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</si>
  <si>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</si>
  <si>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</si>
  <si>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</si>
  <si>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</si>
  <si>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</si>
  <si>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</si>
  <si>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</si>
  <si>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</si>
  <si>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</si>
  <si>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</si>
  <si>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</si>
  <si>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</si>
  <si>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</si>
  <si>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</si>
  <si>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</si>
  <si>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</si>
  <si>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</si>
  <si>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</si>
  <si>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</si>
  <si>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</si>
  <si>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</si>
  <si>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</si>
  <si>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</si>
  <si>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</si>
  <si>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</si>
  <si>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</si>
  <si>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</si>
  <si>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</si>
  <si>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</si>
  <si>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</si>
  <si>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</si>
  <si>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</si>
  <si>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</si>
  <si>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</si>
  <si>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</si>
  <si>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</si>
  <si>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</si>
  <si>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</si>
  <si>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</si>
  <si>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</si>
  <si>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</si>
  <si>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</si>
  <si>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</si>
  <si>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</si>
  <si>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</si>
  <si>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</si>
  <si>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</si>
  <si>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</si>
  <si>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</si>
  <si>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</si>
  <si>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</si>
  <si>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</si>
  <si>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</si>
  <si>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</si>
  <si>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</si>
  <si>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</si>
  <si>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</si>
  <si>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</si>
  <si>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</si>
  <si>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</si>
  <si>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</si>
  <si>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</si>
  <si>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</si>
  <si>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</si>
  <si>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</si>
  <si>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</si>
  <si>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</si>
  <si>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</si>
  <si>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</si>
  <si>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</si>
  <si>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</si>
  <si>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</si>
  <si>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</si>
  <si>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</si>
  <si>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</si>
  <si>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</si>
  <si>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</si>
  <si>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</si>
  <si>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</si>
  <si>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</si>
  <si>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</si>
  <si>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</si>
  <si>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</si>
  <si>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</si>
  <si>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</si>
  <si>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</si>
  <si>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</si>
  <si>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</si>
  <si>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</si>
  <si>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</si>
  <si>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</si>
  <si>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</si>
  <si>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</si>
  <si>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</si>
  <si>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</si>
  <si>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</si>
  <si>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</si>
  <si>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</si>
  <si>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</si>
  <si>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</si>
  <si>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</si>
  <si>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</si>
  <si>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</si>
  <si>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</si>
  <si>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</si>
  <si>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</si>
  <si>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</si>
  <si>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</si>
  <si>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</si>
  <si>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</si>
  <si>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</si>
  <si>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</si>
  <si>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</si>
  <si>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</si>
  <si>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</si>
  <si>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</si>
  <si>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</si>
  <si>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</si>
  <si>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</si>
  <si>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</si>
  <si>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</si>
  <si>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</si>
  <si>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</si>
  <si>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ADIV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</si>
  <si>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</si>
  <si>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</si>
  <si>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</si>
  <si>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</si>
  <si>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</si>
  <si>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</si>
  <si>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</si>
  <si>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</si>
  <si>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</si>
  <si>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</si>
  <si>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</si>
  <si>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</si>
  <si>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</si>
  <si>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</si>
  <si>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</si>
  <si>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</si>
  <si>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</si>
  <si>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</si>
  <si>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</si>
  <si>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</si>
  <si>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</si>
  <si>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</si>
  <si>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</si>
  <si>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</si>
  <si>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</si>
  <si>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</si>
  <si>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</si>
  <si>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</si>
  <si>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</si>
  <si>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</si>
  <si>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</si>
  <si>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</si>
  <si>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</si>
  <si>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</si>
  <si>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</si>
  <si>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</si>
  <si>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</si>
  <si>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</si>
  <si>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</si>
  <si>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</si>
  <si>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</si>
  <si>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</si>
  <si>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</si>
  <si>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</si>
  <si>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</si>
  <si>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</si>
  <si>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</si>
  <si>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</si>
  <si>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</si>
  <si>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</si>
  <si>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</si>
  <si>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</si>
  <si>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</si>
  <si>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</si>
  <si>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</si>
  <si>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</si>
  <si>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</si>
  <si>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</si>
  <si>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</si>
  <si>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</si>
  <si>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</si>
  <si>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</si>
  <si>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</si>
  <si>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</si>
  <si>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</si>
  <si>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</si>
  <si>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</si>
  <si>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</si>
  <si>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</si>
  <si>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</si>
  <si>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</si>
  <si>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</si>
  <si>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</si>
  <si>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</si>
  <si>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</si>
  <si>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</si>
  <si>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</si>
  <si>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</si>
  <si>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</si>
  <si>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</si>
  <si>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</si>
  <si>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</si>
  <si>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</si>
  <si>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</si>
  <si>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</si>
  <si>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</si>
  <si>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</si>
  <si>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</si>
  <si>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</si>
  <si>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</si>
  <si>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</si>
  <si>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</si>
  <si>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</si>
  <si>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</si>
  <si>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</si>
  <si>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</si>
  <si>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</si>
  <si>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</si>
  <si>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</si>
  <si>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</si>
  <si>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</si>
  <si>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</si>
  <si>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</si>
  <si>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</si>
  <si>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</si>
  <si>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</si>
  <si>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</si>
  <si>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</si>
  <si>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</si>
  <si>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</si>
  <si>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</si>
  <si>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</si>
  <si>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</si>
  <si>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</si>
  <si>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</si>
  <si>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</si>
  <si>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</si>
  <si>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</si>
  <si>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</si>
  <si>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</si>
  <si>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</si>
  <si>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</si>
  <si>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</si>
  <si>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</si>
  <si>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</si>
  <si>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</si>
  <si>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</si>
  <si>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</si>
  <si>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FIIV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</si>
  <si>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</si>
  <si>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</si>
  <si>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</si>
  <si>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</si>
  <si>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</si>
  <si>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</si>
  <si>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</si>
  <si>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</si>
  <si>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</si>
  <si>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</si>
  <si>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</si>
  <si>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</si>
  <si>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</si>
  <si>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</si>
  <si>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</si>
  <si>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</si>
  <si>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</si>
  <si>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</si>
  <si>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</si>
  <si>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</si>
  <si>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</si>
  <si>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</si>
  <si>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</si>
  <si>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</si>
  <si>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</si>
  <si>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</si>
  <si>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</si>
  <si>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</si>
  <si>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</si>
  <si>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</si>
  <si>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</si>
  <si>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</si>
  <si>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</si>
  <si>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</si>
  <si>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</si>
  <si>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</si>
  <si>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</si>
  <si>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Lucas Brum Pereira</t>
  </si>
  <si>
    <t>lucas.pereira</t>
  </si>
  <si>
    <t>VXR2696-JNI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</si>
  <si>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</si>
  <si>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</si>
  <si>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</si>
  <si>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</si>
  <si>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</si>
  <si>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</si>
  <si>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</si>
  <si>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</si>
  <si>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</si>
  <si>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</si>
  <si>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</si>
  <si>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</si>
  <si>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</si>
  <si>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</si>
  <si>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</si>
  <si>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</si>
  <si>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</si>
  <si>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</si>
  <si>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</si>
  <si>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</si>
  <si>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</si>
  <si>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</si>
  <si>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</si>
  <si>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</si>
  <si>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</si>
  <si>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</si>
  <si>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</si>
  <si>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</si>
  <si>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</si>
  <si>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</si>
  <si>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</si>
  <si>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</si>
  <si>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</si>
  <si>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 Gonçalves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</si>
  <si>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</si>
  <si>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</si>
  <si>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</si>
  <si>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</si>
  <si>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</si>
  <si>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</si>
  <si>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</si>
  <si>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</si>
  <si>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</si>
  <si>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</si>
  <si>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</si>
  <si>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</si>
  <si>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</si>
  <si>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</si>
  <si>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</si>
  <si>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</si>
  <si>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</si>
  <si>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</si>
  <si>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</si>
  <si>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</si>
  <si>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</si>
  <si>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</si>
  <si>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</si>
  <si>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</si>
  <si>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</si>
  <si>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</si>
  <si>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</si>
  <si>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</si>
  <si>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</si>
  <si>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</si>
  <si>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</si>
  <si>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</si>
  <si>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</si>
  <si>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</si>
  <si>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</si>
  <si>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</si>
  <si>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</si>
  <si>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</si>
  <si>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</si>
  <si>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</si>
  <si>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</si>
  <si>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</si>
  <si>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</si>
  <si>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</si>
  <si>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</si>
  <si>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</si>
  <si>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</si>
  <si>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</si>
  <si>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</si>
  <si>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</si>
  <si>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</si>
  <si>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</si>
  <si>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</si>
  <si>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</si>
  <si>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</si>
  <si>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</si>
  <si>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</si>
  <si>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</si>
  <si>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</si>
  <si>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</si>
  <si>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</si>
  <si>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</si>
  <si>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</si>
  <si>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</si>
  <si>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</si>
  <si>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</si>
  <si>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</si>
  <si>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</si>
  <si>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</si>
  <si>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</si>
  <si>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</si>
  <si>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</si>
  <si>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</si>
  <si>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</si>
  <si>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</si>
  <si>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</si>
  <si>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</si>
  <si>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</si>
  <si>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</si>
  <si>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</si>
  <si>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</si>
  <si>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</si>
  <si>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</si>
  <si>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</si>
  <si>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</si>
  <si>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</si>
  <si>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</si>
  <si>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</si>
  <si>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</si>
  <si>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</si>
  <si>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</si>
  <si>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</si>
  <si>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</si>
  <si>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</si>
  <si>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</si>
  <si>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</si>
  <si>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</si>
  <si>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</si>
  <si>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</si>
  <si>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</si>
  <si>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</si>
  <si>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</si>
  <si>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</si>
  <si>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</si>
  <si>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</si>
  <si>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</si>
  <si>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</si>
  <si>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</si>
  <si>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</si>
  <si>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</si>
  <si>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</si>
  <si>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</si>
  <si>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</si>
  <si>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</si>
  <si>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</si>
  <si>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</si>
  <si>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</si>
  <si>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</si>
  <si>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</si>
  <si>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</si>
  <si>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</si>
  <si>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</si>
  <si>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</si>
  <si>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</si>
  <si>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</si>
  <si>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</si>
  <si>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</si>
  <si>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</si>
  <si>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</si>
  <si>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</si>
  <si>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</si>
  <si>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</si>
  <si>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</si>
  <si>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</si>
  <si>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</si>
  <si>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</si>
  <si>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</si>
  <si>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</si>
  <si>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</si>
  <si>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</si>
  <si>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</si>
  <si>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</si>
  <si>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</si>
  <si>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</si>
  <si>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</si>
  <si>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</si>
  <si>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</si>
  <si>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</si>
  <si>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</si>
  <si>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</si>
  <si>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</si>
  <si>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</si>
  <si>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</si>
  <si>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</si>
  <si>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</si>
  <si>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</si>
  <si>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</si>
  <si>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</si>
  <si>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</si>
  <si>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</si>
  <si>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</si>
  <si>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</si>
  <si>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</si>
  <si>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</si>
  <si>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</si>
  <si>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</si>
  <si>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</si>
  <si>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</si>
  <si>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</si>
  <si>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</si>
  <si>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</si>
  <si>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</si>
  <si>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</si>
  <si>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</si>
  <si>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</si>
  <si>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</si>
  <si>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</si>
  <si>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</si>
  <si>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</si>
  <si>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</si>
  <si>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</si>
  <si>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</si>
  <si>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</si>
  <si>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</si>
  <si>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</si>
  <si>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</si>
  <si>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</si>
  <si>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</si>
  <si>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</si>
  <si>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</si>
  <si>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</si>
  <si>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</si>
  <si>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</si>
  <si>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</si>
  <si>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</si>
  <si>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</si>
  <si>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</si>
  <si>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</si>
  <si>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</si>
  <si>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</si>
  <si>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</si>
  <si>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</si>
  <si>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</si>
  <si>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</si>
  <si>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</si>
  <si>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</si>
  <si>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</si>
  <si>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</si>
  <si>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</si>
  <si>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</si>
  <si>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</si>
  <si>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</si>
  <si>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</si>
  <si>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</si>
  <si>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</si>
  <si>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</si>
  <si>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</si>
  <si>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</si>
  <si>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</si>
  <si>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</si>
  <si>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</si>
  <si>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</si>
  <si>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</si>
  <si>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</si>
  <si>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Nicole Marcondes dos Santos</t>
  </si>
  <si>
    <t>nicole.santos</t>
  </si>
  <si>
    <t>LOV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</si>
  <si>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</si>
  <si>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</si>
  <si>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</si>
  <si>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</si>
  <si>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</si>
  <si>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</si>
  <si>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</si>
  <si>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</si>
  <si>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</si>
  <si>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</si>
  <si>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</si>
  <si>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</si>
  <si>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</si>
  <si>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</si>
  <si>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</si>
  <si>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</si>
  <si>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</si>
  <si>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</si>
  <si>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</si>
  <si>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</si>
  <si>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</si>
  <si>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</si>
  <si>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</si>
  <si>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</si>
  <si>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</si>
  <si>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</si>
  <si>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</si>
  <si>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</si>
  <si>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Tadeu Ferraz</t>
  </si>
  <si>
    <t>tadeu.ferraz</t>
  </si>
  <si>
    <t>LTW8906-FJU</t>
  </si>
  <si>
    <t>Paula Mota</t>
  </si>
  <si>
    <t>paula.mota</t>
  </si>
  <si>
    <t>YEW1874-FEF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</si>
  <si>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</si>
  <si>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</si>
  <si>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</si>
  <si>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</si>
  <si>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</si>
  <si>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</si>
  <si>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</si>
  <si>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</si>
  <si>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COV</t>
  </si>
  <si>
    <t>IAL2823-TKS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</si>
  <si>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</si>
  <si>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</si>
  <si>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</si>
  <si>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</si>
  <si>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</si>
  <si>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</si>
  <si>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</si>
  <si>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</si>
  <si>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</si>
  <si>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</si>
  <si>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</si>
  <si>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</si>
  <si>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</si>
  <si>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</si>
  <si>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</si>
  <si>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</si>
  <si>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</si>
  <si>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</si>
  <si>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</si>
  <si>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</si>
  <si>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</si>
  <si>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</si>
  <si>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</si>
  <si>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</si>
  <si>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</si>
  <si>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</si>
  <si>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</si>
  <si>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</si>
  <si>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</si>
  <si>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</si>
  <si>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</si>
  <si>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</si>
  <si>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</si>
  <si>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</si>
  <si>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</si>
  <si>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</si>
  <si>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</si>
  <si>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</si>
  <si>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</si>
  <si>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</si>
  <si>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</si>
  <si>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</si>
  <si>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</si>
  <si>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</si>
  <si>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</si>
  <si>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</si>
  <si>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</si>
  <si>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</si>
  <si>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</si>
  <si>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</si>
  <si>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</si>
  <si>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</si>
  <si>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</si>
  <si>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</si>
  <si>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</si>
  <si>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</si>
  <si>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</si>
  <si>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</si>
  <si>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</si>
  <si>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</si>
  <si>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</si>
  <si>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</si>
  <si>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</si>
  <si>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</si>
  <si>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</si>
  <si>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</si>
  <si>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</si>
  <si>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</si>
  <si>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</si>
  <si>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</si>
  <si>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</si>
  <si>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</si>
  <si>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</si>
  <si>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</si>
  <si>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</si>
  <si>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</si>
  <si>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</si>
  <si>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</si>
  <si>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</si>
  <si>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</si>
  <si>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</si>
  <si>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</si>
  <si>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</si>
  <si>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</si>
  <si>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</si>
  <si>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</si>
  <si>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</si>
  <si>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</si>
  <si>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</si>
  <si>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</si>
  <si>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</si>
  <si>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</si>
  <si>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</si>
  <si>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</si>
  <si>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</si>
  <si>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</si>
  <si>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</si>
  <si>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</si>
  <si>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</si>
  <si>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</si>
  <si>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</si>
  <si>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</si>
  <si>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</si>
  <si>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</si>
  <si>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</si>
  <si>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</si>
  <si>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</si>
  <si>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</si>
  <si>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</si>
  <si>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</si>
  <si>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</si>
  <si>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</si>
  <si>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</si>
  <si>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</si>
  <si>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</si>
  <si>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</si>
  <si>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</si>
  <si>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</si>
  <si>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</si>
  <si>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</si>
  <si>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</si>
  <si>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</si>
  <si>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</si>
  <si>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</si>
  <si>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</si>
  <si>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</si>
  <si>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</si>
  <si>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</si>
  <si>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</si>
  <si>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</si>
  <si>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</si>
  <si>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</si>
  <si>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</si>
  <si>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</si>
  <si>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</si>
  <si>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</si>
  <si>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</si>
  <si>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</si>
  <si>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</si>
  <si>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</si>
  <si>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</si>
  <si>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</si>
  <si>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</si>
  <si>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</si>
  <si>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</si>
  <si>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</si>
  <si>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</si>
  <si>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</si>
  <si>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</si>
  <si>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</si>
  <si>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</si>
  <si>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</si>
  <si>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</si>
  <si>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</si>
  <si>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</si>
  <si>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</si>
  <si>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</si>
  <si>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</si>
  <si>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</si>
  <si>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</si>
  <si>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</si>
  <si>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</si>
  <si>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</si>
  <si>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</si>
  <si>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</si>
  <si>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</si>
  <si>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</si>
  <si>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</si>
  <si>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</si>
  <si>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</si>
  <si>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</si>
  <si>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</si>
  <si>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</si>
  <si>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</si>
  <si>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</si>
  <si>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</si>
  <si>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</si>
  <si>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</si>
  <si>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</si>
  <si>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</si>
  <si>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</si>
  <si>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</si>
  <si>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</si>
  <si>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</si>
  <si>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</si>
  <si>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</si>
  <si>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</si>
  <si>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</si>
  <si>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</si>
  <si>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</si>
  <si>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</si>
  <si>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</si>
  <si>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</si>
  <si>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</si>
  <si>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</si>
  <si>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</si>
  <si>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</si>
  <si>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</si>
  <si>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</si>
  <si>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</si>
  <si>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</si>
  <si>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</si>
  <si>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</si>
  <si>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</si>
  <si>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</si>
  <si>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</si>
  <si>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</si>
  <si>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</si>
  <si>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</si>
  <si>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</si>
  <si>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</si>
  <si>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</si>
  <si>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</si>
  <si>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</si>
  <si>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</si>
  <si>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</si>
  <si>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</si>
  <si>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</si>
  <si>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</si>
  <si>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</si>
  <si>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</si>
  <si>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</si>
  <si>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</si>
  <si>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</si>
  <si>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</si>
  <si>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</si>
  <si>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</si>
  <si>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</si>
  <si>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</si>
  <si>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</si>
  <si>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</si>
  <si>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</si>
  <si>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</si>
  <si>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</si>
  <si>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</si>
  <si>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</si>
  <si>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</si>
  <si>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</si>
  <si>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</si>
  <si>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</si>
  <si>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</si>
  <si>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</si>
  <si>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</si>
  <si>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</si>
  <si>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</si>
  <si>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</si>
  <si>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</si>
  <si>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</si>
  <si>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</si>
  <si>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</si>
  <si>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</si>
  <si>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</si>
  <si>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</si>
  <si>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</si>
  <si>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</si>
  <si>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</si>
  <si>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</si>
  <si>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</si>
  <si>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</si>
  <si>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</si>
  <si>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</si>
  <si>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</si>
  <si>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</si>
  <si>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</si>
  <si>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</si>
  <si>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</si>
  <si>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</si>
  <si>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</si>
  <si>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</si>
  <si>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</si>
  <si>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</si>
  <si>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</si>
  <si>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</si>
  <si>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</si>
  <si>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</si>
  <si>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</si>
  <si>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</si>
  <si>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</si>
  <si>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</si>
  <si>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</si>
  <si>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</si>
  <si>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</si>
  <si>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</si>
  <si>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</si>
  <si>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</si>
  <si>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</si>
  <si>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</si>
  <si>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</si>
  <si>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</si>
  <si>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</si>
  <si>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</si>
  <si>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</si>
  <si>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</si>
  <si>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</si>
  <si>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</si>
  <si>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</si>
  <si>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</si>
  <si>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</si>
  <si>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</si>
  <si>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</si>
  <si>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</si>
  <si>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</si>
  <si>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</si>
  <si>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</si>
  <si>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</si>
  <si>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</si>
  <si>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</si>
  <si>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</si>
  <si>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</si>
  <si>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</si>
  <si>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</si>
  <si>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</si>
  <si>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</si>
  <si>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</si>
  <si>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</si>
  <si>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</si>
  <si>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</si>
  <si>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</si>
  <si>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</si>
  <si>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</si>
  <si>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</si>
  <si>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</si>
  <si>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</si>
  <si>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</si>
  <si>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</si>
  <si>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</si>
  <si>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</si>
  <si>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</si>
  <si>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</si>
  <si>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</si>
  <si>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</si>
  <si>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</si>
  <si>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</si>
  <si>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</si>
  <si>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</si>
  <si>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</si>
  <si>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</si>
  <si>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</si>
  <si>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</si>
  <si>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</si>
  <si>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</si>
  <si>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</si>
  <si>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</si>
  <si>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</si>
  <si>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</si>
  <si>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</si>
  <si>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</si>
  <si>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</si>
  <si>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</si>
  <si>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</si>
  <si>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</si>
  <si>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</si>
  <si>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</si>
  <si>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</si>
  <si>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</si>
  <si>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</si>
  <si>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</si>
  <si>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</si>
  <si>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</si>
  <si>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</si>
  <si>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</si>
  <si>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</si>
  <si>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</si>
  <si>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</si>
  <si>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</si>
  <si>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</si>
  <si>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</si>
  <si>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</si>
  <si>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</si>
  <si>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</si>
  <si>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</si>
  <si>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</si>
  <si>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</si>
  <si>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</si>
  <si>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</si>
  <si>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</si>
  <si>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</si>
  <si>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</si>
  <si>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</si>
  <si>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</si>
  <si>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</si>
  <si>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</si>
  <si>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</si>
  <si>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</si>
  <si>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</si>
  <si>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</si>
  <si>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</si>
  <si>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</si>
  <si>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</si>
  <si>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</si>
  <si>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</si>
  <si>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</si>
  <si>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</si>
  <si>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</si>
  <si>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</si>
  <si>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</si>
  <si>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</si>
  <si>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</si>
  <si>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</si>
  <si>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</si>
  <si>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</si>
  <si>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</si>
  <si>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</si>
  <si>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</si>
  <si>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</si>
  <si>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</si>
  <si>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</si>
  <si>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</si>
  <si>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</si>
  <si>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</si>
  <si>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João de Souza</t>
  </si>
  <si>
    <t>joão.souza</t>
  </si>
  <si>
    <t>XAX1021-ACC</t>
  </si>
  <si>
    <t>Eugênio Galvão de Souza</t>
  </si>
  <si>
    <t>eugênio.souza</t>
  </si>
  <si>
    <t>JOP6259-CLP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</si>
  <si>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</si>
  <si>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</si>
  <si>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</si>
  <si>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</si>
  <si>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</si>
  <si>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</si>
  <si>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</si>
  <si>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</si>
  <si>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</si>
  <si>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</si>
  <si>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</si>
  <si>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</si>
  <si>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</si>
  <si>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</si>
  <si>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</si>
  <si>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</si>
  <si>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</si>
  <si>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</si>
  <si>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</si>
  <si>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</si>
  <si>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</si>
  <si>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</si>
  <si>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</si>
  <si>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</si>
  <si>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</si>
  <si>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</si>
  <si>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</si>
  <si>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</si>
  <si>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</si>
  <si>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</si>
  <si>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</si>
  <si>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</si>
  <si>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</si>
  <si>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</si>
  <si>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</si>
  <si>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</si>
  <si>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</si>
  <si>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</si>
  <si>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</si>
  <si>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</si>
  <si>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</si>
  <si>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</si>
  <si>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</si>
  <si>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</si>
  <si>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</si>
  <si>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</si>
  <si>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</si>
  <si>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</si>
  <si>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</si>
  <si>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</si>
  <si>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</si>
  <si>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</si>
  <si>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</si>
  <si>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</si>
  <si>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</si>
  <si>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</si>
  <si>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</si>
  <si>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</si>
  <si>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</si>
  <si>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</si>
  <si>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</si>
  <si>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</si>
  <si>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</si>
  <si>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</si>
  <si>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</si>
  <si>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</si>
  <si>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</si>
  <si>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</si>
  <si>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</si>
  <si>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</si>
  <si>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</si>
  <si>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</si>
  <si>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</si>
  <si>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</si>
  <si>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</si>
  <si>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</si>
  <si>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</si>
  <si>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</si>
  <si>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</si>
  <si>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</si>
  <si>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</si>
  <si>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</si>
  <si>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</si>
  <si>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</si>
  <si>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</si>
  <si>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</si>
  <si>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</si>
  <si>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</si>
  <si>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</si>
  <si>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</si>
  <si>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</si>
  <si>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</si>
  <si>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</si>
  <si>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</si>
  <si>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</si>
  <si>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</si>
  <si>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</si>
  <si>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</si>
  <si>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</si>
  <si>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</si>
  <si>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</si>
  <si>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</si>
  <si>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</si>
  <si>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</si>
  <si>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</si>
  <si>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</si>
  <si>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</si>
  <si>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</si>
  <si>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</si>
  <si>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</si>
  <si>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</si>
  <si>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</si>
  <si>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</si>
  <si>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</si>
  <si>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</si>
  <si>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</si>
  <si>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</si>
  <si>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</si>
  <si>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</si>
  <si>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</si>
  <si>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</si>
  <si>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</si>
  <si>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</si>
  <si>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</si>
  <si>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</si>
  <si>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</si>
  <si>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</si>
  <si>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</si>
  <si>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</si>
  <si>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</si>
  <si>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</si>
  <si>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</si>
  <si>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</si>
  <si>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</si>
  <si>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</si>
  <si>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</si>
  <si>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 Gonçalves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</si>
  <si>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</si>
  <si>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</si>
  <si>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</si>
  <si>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</si>
  <si>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</si>
  <si>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</si>
  <si>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</si>
  <si>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</si>
  <si>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</si>
  <si>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</si>
  <si>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</si>
  <si>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</si>
  <si>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</si>
  <si>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</si>
  <si>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</si>
  <si>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</si>
  <si>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</si>
  <si>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</si>
  <si>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</si>
  <si>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</si>
  <si>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</si>
  <si>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</si>
  <si>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</si>
  <si>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</si>
  <si>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</si>
  <si>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</si>
  <si>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</si>
  <si>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</si>
  <si>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</si>
  <si>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</si>
  <si>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</si>
  <si>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</si>
  <si>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</si>
  <si>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</si>
  <si>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</si>
  <si>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</si>
  <si>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</si>
  <si>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</si>
  <si>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</si>
  <si>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</si>
  <si>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</si>
  <si>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</si>
  <si>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</si>
  <si>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</si>
  <si>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</si>
  <si>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</si>
  <si>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</si>
  <si>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</si>
  <si>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</si>
  <si>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</si>
  <si>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</si>
  <si>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</si>
  <si>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</si>
  <si>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</si>
  <si>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</si>
  <si>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</si>
  <si>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</si>
  <si>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</si>
  <si>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</si>
  <si>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</si>
  <si>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</si>
  <si>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</si>
  <si>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</si>
  <si>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</si>
  <si>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</si>
  <si>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</si>
  <si>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</si>
  <si>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</si>
  <si>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</si>
  <si>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</si>
  <si>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</si>
  <si>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</si>
  <si>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</si>
  <si>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</si>
  <si>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</si>
  <si>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</si>
  <si>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</si>
  <si>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</si>
  <si>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</si>
  <si>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</si>
  <si>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</si>
  <si>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</si>
  <si>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</si>
  <si>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</si>
  <si>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</si>
  <si>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</si>
  <si>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</si>
  <si>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</si>
  <si>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</si>
  <si>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 Monteiro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</si>
  <si>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</si>
  <si>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</si>
  <si>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</si>
  <si>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</si>
  <si>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</si>
  <si>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</si>
  <si>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</si>
  <si>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</si>
  <si>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</si>
  <si>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</si>
  <si>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</si>
  <si>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</si>
  <si>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</si>
  <si>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</si>
  <si>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</si>
  <si>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</si>
  <si>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</si>
  <si>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</si>
  <si>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</si>
  <si>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</si>
  <si>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</si>
  <si>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</si>
  <si>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</si>
  <si>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</si>
  <si>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</si>
  <si>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</si>
  <si>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</si>
  <si>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</si>
  <si>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</si>
  <si>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</si>
  <si>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</si>
  <si>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</si>
  <si>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</si>
  <si>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</si>
  <si>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</si>
  <si>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</si>
  <si>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</si>
  <si>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</si>
  <si>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</si>
  <si>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</si>
  <si>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</si>
  <si>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</si>
  <si>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</si>
  <si>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</si>
  <si>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</si>
  <si>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</si>
  <si>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</si>
  <si>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</si>
  <si>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</si>
  <si>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</si>
  <si>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</si>
  <si>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</si>
  <si>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</si>
  <si>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</si>
  <si>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</si>
  <si>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</si>
  <si>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</si>
  <si>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</si>
  <si>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</si>
  <si>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</si>
  <si>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</si>
  <si>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</si>
  <si>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</si>
  <si>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</si>
  <si>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</si>
  <si>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</si>
  <si>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</si>
  <si>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</si>
  <si>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</si>
  <si>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</si>
  <si>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</si>
  <si>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</si>
  <si>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</si>
  <si>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</si>
  <si>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</si>
  <si>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</si>
  <si>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</si>
  <si>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</si>
  <si>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</si>
  <si>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</si>
  <si>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</si>
  <si>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</si>
  <si>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</si>
  <si>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</si>
  <si>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</si>
  <si>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</si>
  <si>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</si>
  <si>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</si>
  <si>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</si>
  <si>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</si>
  <si>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</si>
  <si>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</si>
  <si>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</si>
  <si>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</si>
  <si>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</si>
  <si>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</si>
  <si>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</si>
  <si>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</si>
  <si>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</si>
  <si>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</si>
  <si>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</si>
  <si>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</si>
  <si>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</si>
  <si>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</si>
  <si>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</si>
  <si>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</si>
  <si>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</si>
  <si>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</si>
  <si>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</si>
  <si>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</si>
  <si>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</si>
  <si>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</si>
  <si>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</si>
  <si>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</si>
  <si>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</si>
  <si>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</si>
  <si>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</si>
  <si>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</si>
  <si>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</si>
  <si>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</si>
  <si>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</si>
  <si>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</si>
  <si>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</si>
  <si>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</si>
  <si>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</si>
  <si>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</si>
  <si>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</si>
  <si>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</si>
  <si>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</si>
  <si>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</si>
  <si>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</si>
  <si>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</si>
  <si>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</si>
  <si>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</si>
  <si>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</si>
  <si>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</si>
  <si>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</si>
  <si>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</si>
  <si>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</si>
  <si>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</si>
  <si>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</si>
  <si>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</si>
  <si>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</si>
  <si>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</si>
  <si>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</si>
  <si>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</si>
  <si>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</si>
  <si>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</si>
  <si>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</si>
  <si>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</si>
  <si>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</si>
  <si>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</si>
  <si>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</si>
  <si>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</si>
  <si>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</si>
  <si>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</si>
  <si>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</si>
  <si>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</si>
  <si>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</si>
  <si>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</si>
  <si>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</si>
  <si>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</si>
  <si>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</si>
  <si>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</si>
  <si>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</si>
  <si>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</si>
  <si>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</si>
  <si>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Nuno de Oliveira Sampaio</t>
  </si>
  <si>
    <t>nuno.sampaio</t>
  </si>
  <si>
    <t>ATA8785-ZEK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</si>
  <si>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</si>
  <si>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</si>
  <si>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</si>
  <si>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</si>
  <si>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</si>
  <si>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</si>
  <si>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</si>
  <si>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</si>
  <si>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</si>
  <si>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</si>
  <si>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</si>
  <si>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</si>
  <si>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</si>
  <si>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</si>
  <si>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</si>
  <si>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</si>
  <si>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</si>
  <si>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</si>
  <si>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</si>
  <si>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</si>
  <si>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</si>
  <si>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</si>
  <si>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</si>
  <si>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</si>
  <si>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</si>
  <si>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</si>
  <si>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</si>
  <si>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</si>
  <si>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</si>
  <si>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</si>
  <si>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</si>
  <si>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</si>
  <si>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</si>
  <si>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</si>
  <si>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</si>
  <si>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</si>
  <si>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</si>
  <si>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</si>
  <si>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</si>
  <si>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</si>
  <si>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</si>
  <si>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</si>
  <si>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</si>
  <si>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</si>
  <si>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</si>
  <si>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</si>
  <si>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</si>
  <si>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</si>
  <si>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 xml:space="preserve">Bernardo da cunha </t>
  </si>
  <si>
    <t>bernardo.cunha</t>
  </si>
  <si>
    <t>CKP3287-UEK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</si>
  <si>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</si>
  <si>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</si>
  <si>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</si>
  <si>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</si>
  <si>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</si>
  <si>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</si>
  <si>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</si>
  <si>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</si>
  <si>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</si>
  <si>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</si>
  <si>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</si>
  <si>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</si>
  <si>
    <t>Nível</t>
  </si>
  <si>
    <t>Área</t>
  </si>
  <si>
    <t>Contratação</t>
  </si>
  <si>
    <t>Quadro</t>
  </si>
  <si>
    <t>Bonus</t>
  </si>
  <si>
    <t>Diretor</t>
  </si>
  <si>
    <t>Operações</t>
  </si>
  <si>
    <t>Efetivo</t>
  </si>
  <si>
    <t>Diretoria</t>
  </si>
  <si>
    <t>Estagiário</t>
  </si>
  <si>
    <t>Logísitca</t>
  </si>
  <si>
    <t>N</t>
  </si>
  <si>
    <t>Gerente</t>
  </si>
  <si>
    <t>Administrativo</t>
  </si>
  <si>
    <t>Analista</t>
  </si>
  <si>
    <t>Terceiro</t>
  </si>
  <si>
    <t>RH</t>
  </si>
  <si>
    <t>Financeiro</t>
  </si>
  <si>
    <t>Coordenador</t>
  </si>
  <si>
    <t>Comercial</t>
  </si>
  <si>
    <t>Casado</t>
  </si>
  <si>
    <t>Solteiro</t>
  </si>
  <si>
    <t>Ano Contratação</t>
  </si>
  <si>
    <t>Região</t>
  </si>
  <si>
    <t>Estado</t>
  </si>
  <si>
    <t>Rótulos de Linha</t>
  </si>
  <si>
    <t>(vazio)</t>
  </si>
  <si>
    <t>Total Geral</t>
  </si>
  <si>
    <t>(Tudo)</t>
  </si>
  <si>
    <t>Contagem de CPF</t>
  </si>
  <si>
    <t>Média de Salario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</si>
</sst>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124"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SANTANA HORTA" refreshedDate="45896.900517013892" createdVersion="6" refreshedVersion="6" minRefreshableVersion="3" recordCount="541" xr:uid="{77BF831F-FD3B-4116-9662-83B956EAD73D}">
  <cacheSource type="worksheet">
    <worksheetSource ref="A1:AH1048576" sheet="Plan1"/>
  </cacheSource>
  <cacheFields count="34">
    <cacheField name="ID RH" numFmtId="0">
      <sharedItems containsString="0" containsBlank="1" containsNumber="1" containsInteger="1" minValue="1" maxValue="539"/>
    </cacheField>
    <cacheField name="RG" numFmtId="1">
      <sharedItems containsString="0" containsBlank="1" containsNumber="1" containsInteger="1" minValue="102860464" maxValue="999755810"/>
    </cacheField>
    <cacheField name="CPF" numFmtId="0">
      <sharedItems containsString="0" containsBlank="1" containsNumber="1" containsInteger="1" minValue="467464996" maxValue="99951511054" count="540">
        <n v="57507179051"/>
        <n v="50388536767"/>
        <n v="59035293914"/>
        <n v="51397043200"/>
        <n v="1296878897"/>
        <n v="82450866508"/>
        <n v="10987705941"/>
        <n v="76842679305"/>
        <n v="74310689799"/>
        <n v="92175010221"/>
        <n v="88574140300"/>
        <n v="74387929625"/>
        <n v="55830536968"/>
        <n v="54730799637"/>
        <n v="99880514390"/>
        <n v="58073890246"/>
        <n v="61294979931"/>
        <n v="90419094811"/>
        <n v="80042375281"/>
        <n v="9952323392"/>
        <n v="76884371772"/>
        <n v="53442435980"/>
        <n v="44454372496"/>
        <n v="80646889575"/>
        <n v="32150458469"/>
        <n v="10613644993"/>
        <n v="39560733219"/>
        <n v="94183063959"/>
        <n v="8330691531"/>
        <n v="41787164393"/>
        <n v="37634974772"/>
        <n v="84826119176"/>
        <n v="82400382776"/>
        <n v="46184061397"/>
        <n v="87024456799"/>
        <n v="32131215034"/>
        <n v="55367561228"/>
        <n v="37388100360"/>
        <n v="38444377165"/>
        <n v="26777450157"/>
        <n v="53345652611"/>
        <n v="13672177381"/>
        <n v="69598912741"/>
        <n v="5343014627"/>
        <n v="97612583834"/>
        <n v="90743788681"/>
        <n v="96251016348"/>
        <n v="82554147473"/>
        <n v="96835281373"/>
        <n v="27461461679"/>
        <n v="60565008263"/>
        <n v="85198417825"/>
        <n v="36847018907"/>
        <n v="52374080491"/>
        <n v="1072732223"/>
        <n v="70906507885"/>
        <n v="54642088823"/>
        <n v="27148931071"/>
        <n v="92249378299"/>
        <n v="43020461189"/>
        <n v="70947774668"/>
        <n v="83362534903"/>
        <n v="58990891166"/>
        <n v="17507519379"/>
        <n v="61335203433"/>
        <n v="35900521383"/>
        <n v="49303014478"/>
        <n v="40570494309"/>
        <n v="22907920992"/>
        <n v="57007091977"/>
        <n v="83370176564"/>
        <n v="53557650797"/>
        <n v="58026423420"/>
        <n v="25283907888"/>
        <n v="59706665923"/>
        <n v="39608438530"/>
        <n v="96176994998"/>
        <n v="64835286968"/>
        <n v="43561231474"/>
        <n v="8109619679"/>
        <n v="48887229405"/>
        <n v="84926158288"/>
        <n v="86353701624"/>
        <n v="51774666970"/>
        <n v="16582949916"/>
        <n v="95043372192"/>
        <n v="10054001100"/>
        <n v="39394659681"/>
        <n v="20250511364"/>
        <n v="36754977877"/>
        <n v="53299149773"/>
        <n v="77304603107"/>
        <n v="99686161948"/>
        <n v="69895817206"/>
        <n v="85220225281"/>
        <n v="24497830089"/>
        <n v="61274119929"/>
        <n v="37828340622"/>
        <n v="85240340884"/>
        <n v="43165902894"/>
        <n v="9003887147"/>
        <n v="67211879291"/>
        <n v="99456233287"/>
        <n v="91737639304"/>
        <n v="30994676682"/>
        <n v="87543439209"/>
        <n v="75486328474"/>
        <n v="66328708348"/>
        <n v="12078625607"/>
        <n v="8904407827"/>
        <n v="39058390996"/>
        <n v="40031578683"/>
        <n v="52543439006"/>
        <n v="543719535"/>
        <n v="86837351362"/>
        <n v="66343320056"/>
        <n v="78645709056"/>
        <n v="58437812891"/>
        <n v="49002955469"/>
        <n v="37162163017"/>
        <n v="86814428662"/>
        <n v="11171827036"/>
        <n v="46296780759"/>
        <n v="56416277399"/>
        <n v="15210371737"/>
        <n v="85431642660"/>
        <n v="9749161333"/>
        <n v="29877187796"/>
        <n v="25118666378"/>
        <n v="80804622668"/>
        <n v="90356066476"/>
        <n v="55793523524"/>
        <n v="93094571173"/>
        <n v="73492961189"/>
        <n v="85312817519"/>
        <n v="30956607102"/>
        <n v="63333609746"/>
        <n v="26493553037"/>
        <n v="54623421808"/>
        <n v="25731473836"/>
        <n v="37366209445"/>
        <n v="11591378511"/>
        <n v="19376496246"/>
        <n v="3941490450"/>
        <n v="8781618356"/>
        <n v="85663574128"/>
        <n v="66664088990"/>
        <n v="44426553762"/>
        <n v="40801914593"/>
        <n v="98115682971"/>
        <n v="32343554925"/>
        <n v="87001444811"/>
        <n v="63970323429"/>
        <n v="60657640935"/>
        <n v="26060218903"/>
        <n v="21205192288"/>
        <n v="60034462482"/>
        <n v="52145589049"/>
        <n v="73306344284"/>
        <n v="49771991818"/>
        <n v="65130314579"/>
        <n v="63828548209"/>
        <n v="47232756579"/>
        <n v="75645986061"/>
        <n v="37330454703"/>
        <n v="46857850331"/>
        <n v="33613115167"/>
        <n v="12614089811"/>
        <n v="63113882290"/>
        <n v="1704841288"/>
        <n v="79621175549"/>
        <n v="75639085014"/>
        <n v="4962147267"/>
        <n v="16999675314"/>
        <n v="954465382"/>
        <n v="72557271291"/>
        <n v="31865943387"/>
        <n v="24034773974"/>
        <n v="86034290704"/>
        <n v="60950145323"/>
        <n v="48472322733"/>
        <n v="37366286499"/>
        <n v="77945150423"/>
        <n v="60885523304"/>
        <n v="90099351276"/>
        <n v="26630144333"/>
        <n v="43986133891"/>
        <n v="20853690606"/>
        <n v="43694038517"/>
        <n v="79052048907"/>
        <n v="56747684111"/>
        <n v="62617279297"/>
        <n v="91935488890"/>
        <n v="55324526587"/>
        <n v="81986804945"/>
        <n v="35453530138"/>
        <n v="58146289103"/>
        <n v="22397479652"/>
        <n v="76756802371"/>
        <n v="29345602726"/>
        <n v="95494545903"/>
        <n v="23397325993"/>
        <n v="35482617668"/>
        <n v="1225896676"/>
        <n v="77393726923"/>
        <n v="17564833287"/>
        <n v="18204188826"/>
        <n v="97563313784"/>
        <n v="87075220857"/>
        <n v="39014801249"/>
        <n v="19510428633"/>
        <n v="18960971427"/>
        <n v="22073793650"/>
        <n v="89104552095"/>
        <n v="92232272948"/>
        <n v="580992867"/>
        <n v="21677211125"/>
        <n v="99578577631"/>
        <n v="81631420902"/>
        <n v="3391678881"/>
        <n v="69387136203"/>
        <n v="4341832481"/>
        <n v="98476387596"/>
        <n v="22750607710"/>
        <n v="17869640397"/>
        <n v="78130347029"/>
        <n v="9229411485"/>
        <n v="77896177493"/>
        <n v="26027398376"/>
        <n v="94362680879"/>
        <n v="4552100166"/>
        <n v="28054605638"/>
        <n v="81032809164"/>
        <n v="52866028094"/>
        <n v="66914201307"/>
        <n v="24164901253"/>
        <n v="23864376350"/>
        <n v="34124760873"/>
        <n v="63773722554"/>
        <n v="54295209030"/>
        <n v="6339514845"/>
        <n v="65307089428"/>
        <n v="9423229923"/>
        <n v="77138440376"/>
        <n v="87695128391"/>
        <n v="4267620637"/>
        <n v="70245813950"/>
        <n v="72860863554"/>
        <n v="7753712219"/>
        <n v="99592686753"/>
        <n v="26234736467"/>
        <n v="1392585689"/>
        <n v="41544845862"/>
        <n v="80152477467"/>
        <n v="12307452053"/>
        <n v="25060647407"/>
        <n v="54899031101"/>
        <n v="46602101730"/>
        <n v="80672836249"/>
        <n v="89161415175"/>
        <n v="81911347285"/>
        <n v="9116171417"/>
        <n v="72370130546"/>
        <n v="31008513124"/>
        <n v="68586619048"/>
        <n v="59961179530"/>
        <n v="3461580057"/>
        <n v="91368502421"/>
        <n v="99002873592"/>
        <n v="62393213963"/>
        <n v="39829973621"/>
        <n v="22620115256"/>
        <n v="19199984776"/>
        <n v="69998363044"/>
        <n v="92396336337"/>
        <n v="28671374661"/>
        <n v="4089857305"/>
        <n v="34356868253"/>
        <n v="98727687805"/>
        <n v="61115281636"/>
        <n v="71566816037"/>
        <n v="85003539784"/>
        <n v="32551184304"/>
        <n v="60605722970"/>
        <n v="62650733069"/>
        <n v="82344280083"/>
        <n v="36307156622"/>
        <n v="94053918847"/>
        <n v="43314300537"/>
        <n v="40454023848"/>
        <n v="73829948092"/>
        <n v="3287383935"/>
        <n v="80378323293"/>
        <n v="16960979951"/>
        <n v="97038495996"/>
        <n v="79464620395"/>
        <n v="12755712372"/>
        <n v="39958792552"/>
        <n v="18497444635"/>
        <n v="47992137771"/>
        <n v="59864021426"/>
        <n v="99318451505"/>
        <n v="39987802758"/>
        <n v="86900440820"/>
        <n v="20262926662"/>
        <n v="59988440473"/>
        <n v="87616175713"/>
        <n v="70394094650"/>
        <n v="45261312483"/>
        <n v="34362271112"/>
        <n v="84852806613"/>
        <n v="29037097311"/>
        <n v="59542847658"/>
        <n v="58626044991"/>
        <n v="53722286321"/>
        <n v="62857272800"/>
        <n v="54936395416"/>
        <n v="68011691064"/>
        <n v="22797084021"/>
        <n v="13470846420"/>
        <n v="60413748030"/>
        <n v="60331096521"/>
        <n v="12369990858"/>
        <n v="77275271963"/>
        <n v="91388902603"/>
        <n v="50989574290"/>
        <n v="58776157417"/>
        <n v="12999382406"/>
        <n v="15606240625"/>
        <n v="4745812998"/>
        <n v="35793187889"/>
        <n v="96186343169"/>
        <n v="54089698899"/>
        <n v="89250112980"/>
        <n v="60759508463"/>
        <n v="93989972172"/>
        <n v="48311601935"/>
        <n v="73212606115"/>
        <n v="80379929319"/>
        <n v="21284980627"/>
        <n v="57342935862"/>
        <n v="30234766197"/>
        <n v="22636401585"/>
        <n v="91829316452"/>
        <n v="71977928588"/>
        <n v="66670708686"/>
        <n v="19408814256"/>
        <n v="37557762383"/>
        <n v="55657248172"/>
        <n v="71480506836"/>
        <n v="5507276868"/>
        <n v="56437848500"/>
        <n v="45580740306"/>
        <n v="52663979333"/>
        <n v="47081234076"/>
        <n v="60398433788"/>
        <n v="34330260139"/>
        <n v="76625425388"/>
        <n v="8806685331"/>
        <n v="17816130451"/>
        <n v="74006861056"/>
        <n v="52251361634"/>
        <n v="86003667436"/>
        <n v="25239330238"/>
        <n v="19340500862"/>
        <n v="8104936146"/>
        <n v="20364097643"/>
        <n v="29759394846"/>
        <n v="17016568221"/>
        <n v="94009246544"/>
        <n v="99576688833"/>
        <n v="94852477623"/>
        <n v="8452286962"/>
        <n v="45264226946"/>
        <n v="23855924850"/>
        <n v="1587233005"/>
        <n v="72113353640"/>
        <n v="21148484097"/>
        <n v="46508502855"/>
        <n v="85654530441"/>
        <n v="78925652236"/>
        <n v="15192492005"/>
        <n v="7648511735"/>
        <n v="79946485930"/>
        <n v="2820055451"/>
        <n v="22500332809"/>
        <n v="29445411838"/>
        <n v="12870918871"/>
        <n v="22987625364"/>
        <n v="25698199783"/>
        <n v="51694048561"/>
        <n v="70885545674"/>
        <n v="18379317008"/>
        <n v="14730791706"/>
        <n v="98040465951"/>
        <n v="82273436498"/>
        <n v="11744503687"/>
        <n v="76601050822"/>
        <n v="5491331746"/>
        <n v="14197416597"/>
        <n v="95289109417"/>
        <n v="467464996"/>
        <n v="40616269986"/>
        <n v="97977355071"/>
        <n v="46000675854"/>
        <n v="51770579641"/>
        <n v="42201510182"/>
        <n v="25104167760"/>
        <n v="20123952566"/>
        <n v="29109681047"/>
        <n v="66688518729"/>
        <n v="33290646969"/>
        <n v="54805422684"/>
        <n v="26916365453"/>
        <n v="32819944879"/>
        <n v="79395837769"/>
        <n v="64335743466"/>
        <n v="60861742158"/>
        <n v="15575937682"/>
        <n v="63353033207"/>
        <n v="36634302419"/>
        <n v="10308691803"/>
        <n v="40657332232"/>
        <n v="78128749092"/>
        <n v="11518619598"/>
        <n v="61231884566"/>
        <n v="16641348113"/>
        <n v="52851792433"/>
        <n v="77309426336"/>
        <n v="66996351226"/>
        <n v="36902237157"/>
        <n v="27419149327"/>
        <n v="26631297477"/>
        <n v="37554817302"/>
        <n v="54654247765"/>
        <n v="77485239025"/>
        <n v="22528288180"/>
        <n v="68945827666"/>
        <n v="27408718127"/>
        <n v="43305491711"/>
        <n v="83146152609"/>
        <n v="22006784371"/>
        <n v="41409729521"/>
        <n v="13096973006"/>
        <n v="45219360780"/>
        <n v="53415907150"/>
        <n v="2539417347"/>
        <n v="86146951688"/>
        <n v="30741245211"/>
        <n v="73828899456"/>
        <n v="803438417"/>
        <n v="66845644745"/>
        <n v="90081572624"/>
        <n v="51501221540"/>
        <n v="49595413705"/>
        <n v="55309835855"/>
        <n v="39575008176"/>
        <n v="4020333151"/>
        <n v="30196640139"/>
        <n v="56640227061"/>
        <n v="75048434567"/>
        <n v="92863257246"/>
        <n v="65506203884"/>
        <n v="20576586404"/>
        <n v="48030841974"/>
        <n v="68860346202"/>
        <n v="32776263108"/>
        <n v="50187820897"/>
        <n v="54226412130"/>
        <n v="69627094277"/>
        <n v="71312076068"/>
        <n v="79178311692"/>
        <n v="56034243224"/>
        <n v="79216815163"/>
        <n v="90987125617"/>
        <n v="34250069684"/>
        <n v="96097462331"/>
        <n v="75731877319"/>
        <n v="64306524088"/>
        <n v="82341234351"/>
        <n v="46146265473"/>
        <n v="21274815670"/>
        <n v="83588649005"/>
        <n v="6716869616"/>
        <n v="78675180676"/>
        <n v="36810461401"/>
        <n v="67776404197"/>
        <n v="36372640719"/>
        <n v="43392060854"/>
        <n v="10863405761"/>
        <n v="87869928006"/>
        <n v="77290763348"/>
        <n v="92143125956"/>
        <n v="91436370502"/>
        <n v="56700558997"/>
        <n v="96283060188"/>
        <n v="1387367641"/>
        <n v="10180348974"/>
        <n v="31652836240"/>
        <n v="88519923483"/>
        <n v="71399869639"/>
        <n v="95126718515"/>
        <n v="75133438138"/>
        <n v="39765809261"/>
        <n v="68307546459"/>
        <n v="53711524927"/>
        <n v="44246436282"/>
        <n v="90730378349"/>
        <n v="26894389692"/>
        <n v="34338608047"/>
        <n v="5294941955"/>
        <n v="99951511054"/>
        <n v="44809174881"/>
        <n v="7583432285"/>
        <n v="61226558260"/>
        <n v="36073984746"/>
        <n v="18870210999"/>
        <n v="6864440781"/>
        <n v="1425235998"/>
        <n v="65848718595"/>
        <n v="58779311477"/>
        <n v="77875037290"/>
        <n v="34537664161"/>
        <n v="62475923475"/>
        <n v="86588384096"/>
        <n v="91504980777"/>
        <n v="76926775882"/>
        <n v="46111631889"/>
        <n v="9831992563"/>
        <n v="92698612354"/>
        <n v="95358890619"/>
        <n v="76210493256"/>
        <n v="58687062248"/>
        <n v="96855777753"/>
        <n v="2439810843"/>
        <n v="4764050200"/>
        <n v="54115282873"/>
        <n v="16126495226"/>
        <n v="53692945235"/>
        <m/>
      </sharedItems>
    </cacheField>
    <cacheField name="Ramal" numFmtId="0">
      <sharedItems containsString="0" containsBlank="1" containsNumber="1" containsInteger="1" minValue="1002" maxValue="7975"/>
    </cacheField>
    <cacheField name="Estado Civil" numFmtId="0">
      <sharedItems containsBlank="1" count="3">
        <s v="Casado"/>
        <s v="Solteiro"/>
        <m/>
      </sharedItems>
    </cacheField>
    <cacheField name="Nome Completo" numFmtId="0">
      <sharedItems containsBlank="1" count="539">
        <s v="Gabriel Mesquita"/>
        <s v="João Haddad"/>
        <s v="Amanda Marques Ribeiro"/>
        <s v="Guilherme Nunez"/>
        <s v="Adelino Gomes"/>
        <s v="Audir de Avila Goulart"/>
        <s v="Zilma Guimarães"/>
        <s v="Gil Bonder"/>
        <s v="Gustavo de Melo Teixeira"/>
        <s v="Andre Campos"/>
        <s v="André Melo Soledade"/>
        <s v="Natalia Morgan Loureiro"/>
        <s v="Luca Costa"/>
        <s v="Jessica Oliveira Lima"/>
        <s v="Caio Scalabrin"/>
        <s v="Vinicius Freitas"/>
        <s v="Pedro Carrera"/>
        <s v="Isabella Bernardo"/>
        <s v="Felipe Sousa Melo"/>
        <s v="Pedro Fontes"/>
        <s v="Maria Lobo"/>
        <s v="Bruno Vargas"/>
        <s v="Bárbara Spenchutt Vieira"/>
        <s v="Andre Ramos"/>
        <s v="Livia Mello"/>
        <s v="Jéssica Neves Heimlich"/>
        <s v="Carolina Monteiro"/>
        <s v="Luís Werneck"/>
        <s v="Cícero Barcelos Tagliari"/>
        <s v="Gabriela Coutinho"/>
        <s v="Thayná Freitas Medronho"/>
        <s v="Marina Silva Pacheco"/>
        <s v="Luana Lopes"/>
        <s v="Vitor Cordovil de Maglhães"/>
        <s v="Carolina Gaspar de Mattos      "/>
        <s v="Victor Mota"/>
        <s v="Marcos Almeida Albuquerque Faria"/>
        <s v="Marcelo Amaral Coelho"/>
        <s v="Tomas Guadagnino"/>
        <s v="Giovana de Oliveira e Mello     "/>
        <s v="Leticia Mota"/>
        <s v="Beatriz Rodrigues"/>
        <s v="Guilherme Araujo Kelly"/>
        <s v="Matheus Pereira dos Santos"/>
        <s v="Mariana Martins"/>
        <s v="Rafael Rozental"/>
        <s v="Rodrigo e Silva Lemos"/>
        <s v="Marianna Pereira da Silva"/>
        <s v="Roberto Suzano"/>
        <s v="Leonardo Silva Gomes"/>
        <s v="Matheus Sepúlveda"/>
        <s v="Jéssica de Morais Silva"/>
        <s v="Gabriel Rozental"/>
        <s v="Patrick da Silva Farias "/>
        <s v="Marcello Venturini de Freitas"/>
        <s v="Isabelle Tiradentes"/>
        <s v="Raissa Carelli"/>
        <s v="Lorena Marinho"/>
        <s v="Valentina Soares"/>
        <s v="Fillipe Tupini"/>
        <s v="Michelle Zerbinato"/>
        <s v="Luiz Guarçoni Migueis"/>
        <s v="João Monteiro"/>
        <s v="Douglas Costa"/>
        <s v="João Ramos"/>
        <s v="Poline Limp"/>
        <s v="Carla Amiccuci Areias"/>
        <s v="Fernanda Rossini"/>
        <s v="Leandro Almeida Neri"/>
        <s v="Luiz Rodrigues Chaves"/>
        <s v="Leonardo Valença Castro"/>
        <s v="Lucas Duarte"/>
        <s v="José Rodrigues Pereira"/>
        <s v="Átila Godoy de Melo"/>
        <s v="Nicole Marquito de Paiva Torres"/>
        <s v="Lucas de Jesus"/>
        <s v="Bruno de Souza"/>
        <s v="Gabriel Castro Cerqueira"/>
        <s v="Larissa Coutinho Beltrao"/>
        <s v="Frederico Vidal"/>
        <s v="Giuseppe Fernandes"/>
        <s v="Rafael Soares dos Santos"/>
        <s v="Larissa do Nascimento Lima"/>
        <s v="Fernanda Castro Morett Ceppas"/>
        <s v="Rodrigo dos Santos Villares Vianna"/>
        <s v="Felipe Jordão Teixeira"/>
        <s v="Luiz Rodrigues de Souza"/>
        <s v="Aline de Souza"/>
        <s v="Roberto Leite"/>
        <s v="Bruna Tavares Vasconcelos"/>
        <s v="Luana Stockler"/>
        <s v="Alberto Ruzza de Carvalho"/>
        <s v="Rafael Hollander"/>
        <s v="Marina Vasconcelos de Sousa"/>
        <s v="Amanda Ferreira"/>
        <s v="Daniel Thuler"/>
        <s v="João Fagundes"/>
        <s v="Brenda Lopes"/>
        <s v="Rafael Viana Santos"/>
        <s v="Juliana Vieira Filho"/>
        <s v="Victoria Nascimento Viríssimo"/>
        <s v="Adriano de Souza"/>
        <s v="Rodrigo Barreto"/>
        <s v="Vinícius Maluf"/>
        <s v="Roberta Vaz"/>
        <s v="José Cardeman"/>
        <s v="Matheus Garcia Borges"/>
        <s v="Guilherme Rocha Venancio Alonso Da Silva"/>
        <s v="Bruna Calmon"/>
        <s v="Higor Frossard"/>
        <s v="Daniela Santos Silva"/>
        <s v="Matheus Sone"/>
        <s v="Aline Santos Silva"/>
        <s v="Natalia Indelicato"/>
        <s v="Pedro Wermelinger Santos"/>
        <s v="Bruno Cunha Felippe"/>
        <s v="Flávio Jacques Gamboa Fernandez de Oliveira Netto"/>
        <s v="Lucas Martins"/>
        <s v="Hanna Vaz"/>
        <s v="Isabela Freitas"/>
        <s v="Paulo Rodrigues Pereira"/>
        <s v="Thaís Lisboa"/>
        <s v="Thomaz Wegbrayt"/>
        <s v="Carolina Gonçalves Lixa Fontoura"/>
        <s v="Débora Pereira Ribeiro"/>
        <s v="Karine Gusmão"/>
        <s v="Isabelle de Sá Foly"/>
        <s v="Lucas Pinheiro Oliveira"/>
        <s v="Pedro Assis"/>
        <s v="Mylena Pinheiro Mariano"/>
        <s v="Renan Taylor"/>
        <s v="João Barbosa"/>
        <s v="Adrielle Sá Rodrigues"/>
        <s v="Caroline Gaspar de Mattos      "/>
        <s v="Caroline Valente de Figueiredo"/>
        <s v="Julia Valim"/>
        <s v="Stefan Vargas"/>
        <s v="Maria Lopes de Almeida"/>
        <s v="Paloma Albano"/>
        <s v="Fernanda Santo"/>
        <s v="Rodrigo Mesquita"/>
        <s v="Gabriel Mello"/>
        <s v="Renan Scharnhorst Ott"/>
        <s v="Lucas Brum Pereira"/>
        <s v="Arnôr Penedo"/>
        <s v="Carolina da Silva"/>
        <s v="Andre Junior"/>
        <s v="Caio Stellet"/>
        <s v="Fernanda Rocha"/>
        <s v="Eduardo Brum"/>
        <s v="Ângelo Gois"/>
        <s v="Carolina Croix Barros"/>
        <s v="Izabel Costa"/>
        <s v="Carlos Mota"/>
        <s v="Thayza Rocha"/>
        <s v="Luiz Gonçalves"/>
        <s v="Ramon Vaz"/>
        <s v="Amanda Rodrigues"/>
        <s v="Hannah de Oliveira"/>
        <s v="Eduardo Ramos"/>
        <s v="Victor Bezerra"/>
        <s v="Lunna Bogossian"/>
        <s v="Yasmini de Almeida Richa"/>
        <s v="Bruna da Cruz Barcelos"/>
        <s v="Eric Santos Silva"/>
        <s v="Fabio Melo Eiras"/>
        <s v="Aledio Villié Cerqueira Silva"/>
        <s v="Brenno Ayello Leite"/>
        <s v="David de Paula"/>
        <s v="Lígia Fernandes Filardi"/>
        <s v="Guilherme Lopes da Silveira "/>
        <s v="Luis Guimarães"/>
        <s v="Thiago Saraiva Araujo"/>
        <s v="Daniel Benevides Xavier"/>
        <s v="Giovana Marinho"/>
        <s v="Eduarda Mello"/>
        <s v="Pedro Alcoforado"/>
        <s v="Wesley Oliveira Baptista"/>
        <s v="Caio Oliveira Meirelles"/>
        <s v="Filipe Tabet"/>
        <s v="Tiago de Araújo Júnior"/>
        <s v="Joāo Leite Ursulino"/>
        <s v="Jaqueline Rimolo de Menezes"/>
        <s v="Paula Gonçalves Gomes"/>
        <s v="Clarissa Ferreira"/>
        <s v="Raíza Barbosa"/>
        <s v="Guilherme Delgado"/>
        <s v="Bruna Serva"/>
        <s v="Rafael Carrera"/>
        <s v="Leonardo de Paula"/>
        <s v="Rômulo Knudsen"/>
        <s v="Bernard Mello"/>
        <s v="Eduardo Ota Hirose"/>
        <s v="Ulisses Borges Pinto Lima"/>
        <s v="Adelino Werneck"/>
        <s v="Marina Lobo Meira"/>
        <s v="Marina de Godoy"/>
        <s v="Beatriz Félix Ferreira"/>
        <s v="Pedro Araujo Kelly"/>
        <s v="Leticia Orichio"/>
        <s v="Julia Martins do Nascimento"/>
        <s v="Leandro Coutinho"/>
        <s v="Isabella de Azevedo Alves"/>
        <s v="Tiago Leal Pedrosa"/>
        <s v="Nathalia de Oliveira"/>
        <s v="Manuela Brum"/>
        <s v="Eduardo Luz"/>
        <s v="Matheus Matta Marques"/>
        <s v="Ana de Almeida Fournier de Assis"/>
        <s v="Gabriel Viana"/>
        <s v="Thaís Restum"/>
        <s v="Douglas Pinto"/>
        <s v="Eric Amante"/>
        <s v="Marcus de Azevedo"/>
        <s v="Lucas Bach"/>
        <s v="Paula de Sousa Leite"/>
        <s v="Amanda Pessanha"/>
        <s v="Átila Aquino de Carvalho"/>
        <s v="Gabriel de Araujo Filho"/>
        <s v="Gabriela Gômara"/>
        <s v="Pedro Correa Rodriguez"/>
        <s v="Patricia Vieira Branco de Matos"/>
        <s v="Elvis Macedo"/>
        <s v="Diego Limp"/>
        <s v="Tatiana Fagundes"/>
        <s v="Cynthia Alvim"/>
        <s v="Rômulo Pedrazza"/>
        <s v="Lucas Luca Lima Barbosa"/>
        <s v="Carolina Mello"/>
        <s v="Ramon Garcia Bittencourt"/>
        <s v="Nicole Marcondes dos Santos"/>
        <s v="Nathalia Bach"/>
        <s v="Bruno de Almeida Silva"/>
        <s v="Maryanna Ferraz"/>
        <s v="Luis Morgado"/>
        <s v="Nicole Vaz"/>
        <s v="Ananda Garcia Soares"/>
        <s v="Carolina Venceslau Santos de Gusmão"/>
        <s v="Pedro Domingos"/>
        <s v="Ana Alvarenga dos Santos"/>
        <s v="Tadeu Ferraz"/>
        <s v="Paula Mota"/>
        <s v="Juliana Rodrigues"/>
        <s v="Felipe Miranda"/>
        <s v="Ana da Cunha"/>
        <s v="Joana Guimarães"/>
        <s v="Lorena de Moraes Junior"/>
        <s v="Priscila de Oliveira"/>
        <s v="Julie Barros "/>
        <s v="Rodrigo da Silva"/>
        <s v="Julia Andrade Gomes"/>
        <s v="Marcelo Moita"/>
        <s v="Pedro Testahy Barros Afonso"/>
        <s v="Igor Jimenez Jimbo"/>
        <s v="Catarina Virginio"/>
        <s v="Matheus de Souza Fróes"/>
        <s v="Manuela Tavares"/>
        <s v="Bruna Ferreira"/>
        <s v="Maria Leite Ursulino"/>
        <s v="Lucas Racy"/>
        <s v="Eduarda Chagas"/>
        <s v="Ruan da Paz"/>
        <s v="Luiza Castro Guimarães"/>
        <s v="Isabella Azevedo Moura"/>
        <s v="Mariana Garcia Soares"/>
        <s v="Julia Bach"/>
        <s v="Renan Fernandes"/>
        <s v="Rômulo Pereira da Silva"/>
        <s v="José Guimarães"/>
        <s v="Carlos Santos Matta"/>
        <s v="Arthur Gonçalo Cavalcanti"/>
        <s v="Yago de Souza Fróes"/>
        <s v="Caio Lassaval Farias"/>
        <s v="Isabella Delgado Fernandes"/>
        <s v="Norman de Souza"/>
        <s v="Bruno Jorge Montanholi"/>
        <s v="Nathália Augusto Oliveira"/>
        <s v="Marta Costa"/>
        <s v="Júlia da Costa Cabral"/>
        <s v="Luiz Ladogano"/>
        <s v="Rafael Cunha"/>
        <s v="Igor de Rezende"/>
        <s v="Rafael de Souza"/>
        <s v="Luiz Viana"/>
        <s v="Henrique Moreira de Brito"/>
        <s v="Andressa Queiroz Israel"/>
        <s v="Andre Ribeiro da Costa"/>
        <s v="Beatriz Machado Araujo"/>
        <s v="Beatriz da Costa"/>
        <s v="Bruna Jimenez Jimbo"/>
        <s v="Amanda de Lacerda"/>
        <s v="Flávio Fontes"/>
        <s v="João Lima"/>
        <s v="Gabriela de Souza Campos"/>
        <s v="Raquel de Souza"/>
        <s v="Elaine de Aragao"/>
        <s v="Gabriel Silva Pacheco"/>
        <s v="Isabella Meirelles"/>
        <s v="Elaine Lopes de Almeida"/>
        <s v="Bruna Yang"/>
        <s v="Luis Azevedo"/>
        <s v="Renata Pinheiro"/>
        <s v="Matheus Andrade Machado "/>
        <s v="Júlia Oliveira de Mello Silva"/>
        <s v="Pedro Michetti"/>
        <s v="Milena Brum"/>
        <s v="Bernardo Essaber"/>
        <s v="Camila Fonseca Martinez"/>
        <s v="Yuri Valerio Albino"/>
        <s v="Debora Penedo"/>
        <s v="Flávia Jordao"/>
        <s v="Matheus Alvarez"/>
        <s v="Gabriel Pereira"/>
        <s v="Igor Fiorenza Duque Pinho"/>
        <s v="Jeferson Ramos"/>
        <s v="Ary da Silva Costa"/>
        <s v="Giulia Gaspar de Mattos      "/>
        <s v="Paulo Souza"/>
        <s v="Mariana Figueiredo Barbosa"/>
        <s v="Aline da Silva"/>
        <s v="Bruna Mello Varela"/>
        <s v="Luiza Sobrinho Pereira"/>
        <s v="Rafael Rodrigues de Sousa"/>
        <s v="Camila Regis Ivo"/>
        <s v="Karine Cardoso das Chagas"/>
        <s v="Myllena Nacif"/>
        <s v="Flávio Barbosa"/>
        <s v="Igor Feijo"/>
        <s v="João Pereira Da Silva"/>
        <s v="Gabriela Costa"/>
        <s v="Jayme Carvalho"/>
        <s v="Luíza Roussef"/>
        <s v="Juan Santos Rosa"/>
        <s v="Ana de Sá Foly"/>
        <s v="Raquel Tavares"/>
        <s v="Raphael Rodrigues"/>
        <s v="Carolina de Souza Almeida"/>
        <s v="Eduardo Paes Leme"/>
        <s v="Rodrigo Funcke"/>
        <s v="Rafaella Sarmento e Silva"/>
        <s v="Marta de Oliveira"/>
        <s v="Alfredo Machado Araujo"/>
        <s v="Audir Muniz"/>
        <s v="Matheus Monteiro"/>
        <s v="Marina Duarte Barbosa"/>
        <s v="Thalles Jordão Teixeira"/>
        <s v="Daniel Alvarenga dos Santos"/>
        <s v="Suelen Lander Regasso"/>
        <s v="Bruno Sobrinho Pereira"/>
        <s v="Eduardo da Cunha"/>
        <s v="Lorena Freire"/>
        <s v="João Silva Longo de Jesus Viana"/>
        <s v="Pedro Helal"/>
        <s v="Ana Ladogano"/>
        <s v="Igor Iglezias Perdomo"/>
        <s v="Mariana Bach"/>
        <s v="Rachel Ferreira"/>
        <s v="Cynthia Mercês"/>
        <s v="Pedro Bernhardt"/>
        <s v="Lucas Short Santa Cecilia"/>
        <s v="Rhuan Hollander"/>
        <s v="Juliana Stockler"/>
        <s v="Anderson Dias Sampaio"/>
        <s v="Marta Fahrnholz"/>
        <s v="Maria Freire"/>
        <s v="Wendela da Cunha"/>
        <s v="Paula Marques Ribeiro"/>
        <s v="Jeronimo dos Santos Villares Vianna"/>
        <s v="Larissa Leal Pedrosa"/>
        <s v="Bárbara Rodrigues"/>
        <s v="Arthur Vaz"/>
        <s v="Matheus Carvalho Pinto e Rocha"/>
        <s v="Roberta Procaci"/>
        <s v="Bernardo de Lima Oliveira"/>
        <s v="Ana Sabino de Azevedo Duarte silva"/>
        <s v="Carolina Fontes"/>
        <s v="Nathalia de Sousa Vaz Rangel"/>
        <s v="Patricia Jorge"/>
        <s v="Pedro Lopes de Oliveira"/>
        <s v="Marcelo Mançãno Chaves"/>
        <s v="Luiz Costa Vasconcellos"/>
        <s v="Mariana Schwenck Gullo"/>
        <s v="João de Souza"/>
        <s v="Eugênio Galvão de Souza"/>
        <s v="Vitor de Carvalho"/>
        <s v="Tadeu Lopes da Silveira "/>
        <s v="Matheus Andrade Souza "/>
        <s v="Tainah Ramos"/>
        <s v="Juan Daumas de Azevedo Assumpção"/>
        <s v="Lucas Guadagnino"/>
        <s v="Daniel Lopes da Silveira "/>
        <s v="Carlos Amorim"/>
        <s v="Flávio Santos Garcia"/>
        <s v="Matheus Iglezias Perdomo"/>
        <s v="Sarah de Carvalho Gomes"/>
        <s v="Bianca Aguiar"/>
        <s v="Renan Steiner Costa"/>
        <s v="Jeferson Pinheiro Mariano"/>
        <s v="Saranna Lepore Pinheiro"/>
        <s v="Cynthia Ribeiro"/>
        <s v="Gabriel Medina"/>
        <s v="Marcello Rebouças"/>
        <s v="Gabriel Vasconcelos de Sousa"/>
        <s v="Francyne Souza"/>
        <s v="Ana Bernardo"/>
        <s v="Carolina Racy"/>
        <s v="Matheus Rubio"/>
        <s v="Fernanda do Nascimento Rocha"/>
        <s v="Gabriela e Alves"/>
        <s v="Caio Aversa"/>
        <s v="Yuri Cruz"/>
        <s v="Camilla Ferraz"/>
        <s v="Nathalia Melo Eiras"/>
        <s v="Marianna Oliveira Leite Silva"/>
        <s v="Lucas Alvarenga dos Santos"/>
        <s v="Sarah Farias Mamede"/>
        <s v="Carolina Araujo Sagrillo"/>
        <s v="Matheus Rodrigues Luiz"/>
        <s v="Marcello Jorge Montanholi"/>
        <s v="Giovanna Fahrnholz"/>
        <s v="Rafael Oliveira Leite Silva"/>
        <s v="João de Araújo  "/>
        <s v="Ighor Araujo Kelly"/>
        <s v="Leonardo Dias"/>
        <s v="Amanda Marinho"/>
        <s v="Tiago Souza Tanaka"/>
        <s v="Iasmim Jacques Gamboa Fernandez de Oliveira Netto"/>
        <s v="Pedro Hanashiro Moraes"/>
        <s v="Rafaela de Godoy"/>
        <s v="Priscila Orçai Granado"/>
        <s v="Fernanda Gonçalves"/>
        <s v="Yuske Orichio"/>
        <s v="Julia Freitas"/>
        <s v="Bianca Vianna "/>
        <s v="Ana Barbosa"/>
        <s v="Emilaine Oliveira de Mello Silva"/>
        <s v="Ana Lassaval Farias"/>
        <s v="Diego Costa"/>
        <s v="Vitor Almeida da Silveira"/>
        <s v="Juan Fernandes de Araújo"/>
        <s v="Paula Pessanha"/>
        <s v="Lorena Fernandes"/>
        <s v="Iris da Silva"/>
        <s v="Maria Freire de Souza"/>
        <s v="Geam Petraglia da Silva"/>
        <s v="Guilherme Johnson"/>
        <s v="Gabriela Romeu"/>
        <s v="Ana Fernandes Filardi"/>
        <s v="José do Vale Lisboa"/>
        <s v="Luis dos Santos"/>
        <s v="Rodrigo Venceslau Santos de Gusmão"/>
        <s v="Desirée Castro Guimarães"/>
        <s v="Milena Cândido Xavier Ferreira"/>
        <s v="João Rodrigues"/>
        <s v="Beatriz Barrozo"/>
        <s v="Luiza Garcia Soares"/>
        <s v="Arthur Gonzalez Assef Miranda"/>
        <s v="Rafael Lobo"/>
        <s v="Marcelo Monnerat"/>
        <s v="Adelino Araujo"/>
        <s v="Vinicius Monteiro"/>
        <s v="Lucas Procaci"/>
        <s v="Paloma Melo Lyra"/>
        <s v="Wesley de Melo Teixeira"/>
        <s v="Luis Figueiredo Gabriel"/>
        <s v="Luiza Monnerat"/>
        <s v="Daniel Garcia"/>
        <s v="Luiz de Mattos"/>
        <s v="André dos Santos Pereira Brito"/>
        <s v="Lucas Alvim"/>
        <s v="Júlia de Oliveira"/>
        <s v="Bruna Santos Oliveira"/>
        <s v="Vinícius Lencastre"/>
        <s v="Daniel Pinto Anastácio Machado"/>
        <s v="Breno Franklin da Silva"/>
        <s v="Renata Lopes de Oliveira"/>
        <s v="Thayane Wermelinger Santos"/>
        <s v="Ramon De Moraes Bergara"/>
        <s v="João da Silva "/>
        <s v="Mauricio Jardim"/>
        <s v="Lais Cormack"/>
        <s v="Milena Fernandes"/>
        <s v="Paloma Agostinho Marques dos Santos"/>
        <s v="Pedro da Silva "/>
        <s v="Luisa da Costa  "/>
        <s v="Beatriz de Lima Oliveira"/>
        <s v="Priscilla Barcelos Tagliari"/>
        <s v="Stefan Silva"/>
        <s v="Eduardo de Carvalho"/>
        <s v="Pedro Jardim"/>
        <s v="Mariana Sartorio"/>
        <s v="Thomaz Campelo da Silva"/>
        <s v="Pedro Vilas Bôas"/>
        <s v="Helena Carramanhos Peixoto "/>
        <s v="Carolina Marques"/>
        <s v="Nicolas Conceição Leite"/>
        <s v="João Resinente"/>
        <s v="Luize da Costa"/>
        <s v="Bárbara Gonçalves "/>
        <s v="Carolina Calafate"/>
        <s v="Yuri Vasconcelos"/>
        <s v="Mateus Novaes Silva"/>
        <s v="Mariana Almeida Alexandre"/>
        <s v="Diego de Melo Teixeira"/>
        <s v="Paulo de Oliveira e Mello     "/>
        <s v="Bianca Lemos"/>
        <s v="Thiago Fernandes de Araújo"/>
        <s v="João Negrelli"/>
        <s v="João Suzano"/>
        <s v="Bruna Rocha de Carvalho"/>
        <s v="Samantha de Oliveira Pereira"/>
        <s v="Bruno Paes Leme"/>
        <s v="Yago Oliveira"/>
        <s v="Leandro Tabet"/>
        <s v="Beatriz Virginio"/>
        <s v="Maria Mello"/>
        <s v="Nuno de Oliveira Sampaio"/>
        <s v="Manuela Abreu Braga Martins"/>
        <s v="Flávio Silva Mendonça"/>
        <s v="Ébio Velucci"/>
        <s v="Victor Fonseca"/>
        <s v="Bernardo Silva"/>
        <s v="Guilherme Cerne Barreto"/>
        <s v="Nathália Fernandes de Araújo"/>
        <s v="Guilherme Lander Regasso"/>
        <s v="Brenno Silva"/>
        <s v="William Araujo Kelly"/>
        <s v="Daniele Blumberg"/>
        <s v="Jorge Nascimento Viríssimo"/>
        <s v="Gabriel Tourinho Rodrigues"/>
        <s v="João Cavalcanti Alves"/>
        <s v="Bernardo Magno"/>
        <s v="Raíza Barcellos"/>
        <s v="Bernardo da cunha "/>
        <s v="Julia Novaes Silva"/>
        <s v="Arthur Bispo"/>
        <s v="Raianne Brum"/>
        <s v="Renan Assis da Silva"/>
        <m/>
      </sharedItems>
    </cacheField>
    <cacheField name="Login" numFmtId="0">
      <sharedItems containsBlank="1"/>
    </cacheField>
    <cacheField name="Data de Nascimento" numFmtId="0">
      <sharedItems containsString="0" containsBlank="1" containsNumber="1" containsInteger="1" minValue="25569" maxValue="36507" count="521">
        <n v="25569"/>
        <n v="27145"/>
        <n v="32880"/>
        <n v="34096"/>
        <n v="27118"/>
        <n v="36299"/>
        <n v="36431"/>
        <n v="32681"/>
        <n v="33059"/>
        <n v="32690"/>
        <n v="26528"/>
        <n v="25963"/>
        <n v="28392"/>
        <n v="31448"/>
        <n v="25726"/>
        <n v="32500"/>
        <n v="26126"/>
        <n v="28618"/>
        <n v="35634"/>
        <n v="34000"/>
        <n v="27757"/>
        <n v="31851"/>
        <n v="35703"/>
        <n v="30479"/>
        <n v="31232"/>
        <n v="33289"/>
        <n v="33314"/>
        <n v="33530"/>
        <n v="28641"/>
        <n v="30197"/>
        <n v="27575"/>
        <n v="29633"/>
        <n v="30119"/>
        <n v="34903"/>
        <n v="28206"/>
        <n v="26165"/>
        <n v="28547"/>
        <n v="34818"/>
        <n v="32112"/>
        <n v="31885"/>
        <n v="27415"/>
        <n v="31810"/>
        <n v="29948"/>
        <n v="29832"/>
        <n v="34087"/>
        <n v="25899"/>
        <n v="29961"/>
        <n v="35709"/>
        <n v="33065"/>
        <n v="28135"/>
        <n v="30682"/>
        <n v="29114"/>
        <n v="29400"/>
        <n v="34361"/>
        <n v="33425"/>
        <n v="26465"/>
        <n v="31000"/>
        <n v="34378"/>
        <n v="35155"/>
        <n v="34408"/>
        <n v="33943"/>
        <n v="29466"/>
        <n v="32259"/>
        <n v="32360"/>
        <n v="29474"/>
        <n v="27851"/>
        <n v="31537"/>
        <n v="30263"/>
        <n v="27116"/>
        <n v="30334"/>
        <n v="32601"/>
        <n v="25571"/>
        <n v="26572"/>
        <n v="31088"/>
        <n v="35587"/>
        <n v="31371"/>
        <n v="26981"/>
        <n v="35207"/>
        <n v="30225"/>
        <n v="31188"/>
        <n v="29585"/>
        <n v="32098"/>
        <n v="31055"/>
        <n v="29457"/>
        <n v="32281"/>
        <n v="28032"/>
        <n v="29833"/>
        <n v="36450"/>
        <n v="29493"/>
        <n v="32711"/>
        <n v="29378"/>
        <n v="36031"/>
        <n v="27096"/>
        <n v="36339"/>
        <n v="28401"/>
        <n v="35584"/>
        <n v="27113"/>
        <n v="32796"/>
        <n v="25800"/>
        <n v="25689"/>
        <n v="34312"/>
        <n v="31467"/>
        <n v="30260"/>
        <n v="33710"/>
        <n v="35767"/>
        <n v="28945"/>
        <n v="33930"/>
        <n v="26317"/>
        <n v="36002"/>
        <n v="33308"/>
        <n v="28158"/>
        <n v="29815"/>
        <n v="29084"/>
        <n v="33108"/>
        <n v="36064"/>
        <n v="34605"/>
        <n v="32152"/>
        <n v="25781"/>
        <n v="29531"/>
        <n v="30476"/>
        <n v="33258"/>
        <n v="30820"/>
        <n v="27949"/>
        <n v="26120"/>
        <n v="25790"/>
        <n v="26065"/>
        <n v="27134"/>
        <n v="33086"/>
        <n v="34783"/>
        <n v="25950"/>
        <n v="28080"/>
        <n v="31973"/>
        <n v="31434"/>
        <n v="27760"/>
        <n v="35314"/>
        <n v="30062"/>
        <n v="29785"/>
        <n v="28814"/>
        <n v="27764"/>
        <n v="34439"/>
        <n v="33531"/>
        <n v="35119"/>
        <n v="35534"/>
        <n v="31458"/>
        <n v="33276"/>
        <n v="33231"/>
        <n v="33015"/>
        <n v="27645"/>
        <n v="29931"/>
        <n v="28626"/>
        <n v="28687"/>
        <n v="27483"/>
        <n v="29620"/>
        <n v="27359"/>
        <n v="36466"/>
        <n v="26267"/>
        <n v="28929"/>
        <n v="31672"/>
        <n v="28911"/>
        <n v="27658"/>
        <n v="29923"/>
        <n v="28706"/>
        <n v="27644"/>
        <n v="25892"/>
        <n v="29862"/>
        <n v="35052"/>
        <n v="36494"/>
        <n v="27131"/>
        <n v="31470"/>
        <n v="31083"/>
        <n v="28993"/>
        <n v="29351"/>
        <n v="28408"/>
        <n v="26266"/>
        <n v="27067"/>
        <n v="29684"/>
        <n v="32226"/>
        <n v="35875"/>
        <n v="34824"/>
        <n v="26319"/>
        <n v="29397"/>
        <n v="34480"/>
        <n v="28122"/>
        <n v="28780"/>
        <n v="30642"/>
        <n v="34033"/>
        <n v="35365"/>
        <n v="34258"/>
        <n v="33641"/>
        <n v="30327"/>
        <n v="35547"/>
        <n v="29355"/>
        <n v="28038"/>
        <n v="28837"/>
        <n v="30038"/>
        <n v="28769"/>
        <n v="27564"/>
        <n v="34677"/>
        <n v="35890"/>
        <n v="30987"/>
        <n v="27750"/>
        <n v="26946"/>
        <n v="30666"/>
        <n v="32151"/>
        <n v="35823"/>
        <n v="27119"/>
        <n v="25981"/>
        <n v="26459"/>
        <n v="26427"/>
        <n v="25882"/>
        <n v="33256"/>
        <n v="34829"/>
        <n v="32627"/>
        <n v="25579"/>
        <n v="29144"/>
        <n v="26030"/>
        <n v="32769"/>
        <n v="31706"/>
        <n v="31833"/>
        <n v="35992"/>
        <n v="34983"/>
        <n v="27995"/>
        <n v="26868"/>
        <n v="34960"/>
        <n v="32153"/>
        <n v="25670"/>
        <n v="28540"/>
        <n v="28775"/>
        <n v="26309"/>
        <n v="35012"/>
        <n v="34331"/>
        <n v="26337"/>
        <n v="31966"/>
        <n v="32284"/>
        <n v="33384"/>
        <n v="33269"/>
        <n v="36498"/>
        <n v="28316"/>
        <n v="28558"/>
        <n v="25596"/>
        <n v="26798"/>
        <n v="27374"/>
        <n v="35593"/>
        <n v="26801"/>
        <n v="36108"/>
        <n v="27185"/>
        <n v="33997"/>
        <n v="31387"/>
        <n v="26626"/>
        <n v="30024"/>
        <n v="30159"/>
        <n v="31798"/>
        <n v="35835"/>
        <n v="28867"/>
        <n v="25605"/>
        <n v="28061"/>
        <n v="30201"/>
        <n v="30352"/>
        <n v="31902"/>
        <n v="26691"/>
        <n v="31363"/>
        <n v="32427"/>
        <n v="32322"/>
        <n v="29499"/>
        <n v="30729"/>
        <n v="26108"/>
        <n v="31682"/>
        <n v="31078"/>
        <n v="33720"/>
        <n v="31686"/>
        <n v="27623"/>
        <n v="28249"/>
        <n v="26321"/>
        <n v="26770"/>
        <n v="29728"/>
        <n v="31403"/>
        <n v="27915"/>
        <n v="31657"/>
        <n v="30670"/>
        <n v="27340"/>
        <n v="29515"/>
        <n v="35916"/>
        <n v="31241"/>
        <n v="29897"/>
        <n v="34600"/>
        <n v="33931"/>
        <n v="31664"/>
        <n v="29523"/>
        <n v="28352"/>
        <n v="31689"/>
        <n v="33876"/>
        <n v="29327"/>
        <n v="29130"/>
        <n v="36433"/>
        <n v="32060"/>
        <n v="27500"/>
        <n v="35900"/>
        <n v="34368"/>
        <n v="31665"/>
        <n v="35473"/>
        <n v="26176"/>
        <n v="28374"/>
        <n v="32168"/>
        <n v="33385"/>
        <n v="31414"/>
        <n v="33757"/>
        <n v="30448"/>
        <n v="34826"/>
        <n v="31773"/>
        <n v="29595"/>
        <n v="31211"/>
        <n v="27710"/>
        <n v="27933"/>
        <n v="32724"/>
        <n v="34973"/>
        <n v="36284"/>
        <n v="33786"/>
        <n v="36507"/>
        <n v="28320"/>
        <n v="26429"/>
        <n v="28680"/>
        <n v="34016"/>
        <n v="26858"/>
        <n v="31472"/>
        <n v="33644"/>
        <n v="35901"/>
        <n v="36144"/>
        <n v="29103"/>
        <n v="25984"/>
        <n v="29258"/>
        <n v="36197"/>
        <n v="30011"/>
        <n v="27879"/>
        <n v="27607"/>
        <n v="31638"/>
        <n v="32174"/>
        <n v="32299"/>
        <n v="32025"/>
        <n v="35315"/>
        <n v="35731"/>
        <n v="36164"/>
        <n v="27521"/>
        <n v="29569"/>
        <n v="29468"/>
        <n v="28321"/>
        <n v="27189"/>
        <n v="26592"/>
        <n v="28852"/>
        <n v="25601"/>
        <n v="29418"/>
        <n v="26415"/>
        <n v="26974"/>
        <n v="31566"/>
        <n v="29619"/>
        <n v="32254"/>
        <n v="35445"/>
        <n v="28411"/>
        <n v="30929"/>
        <n v="30615"/>
        <n v="35515"/>
        <n v="36233"/>
        <n v="35630"/>
        <n v="29675"/>
        <n v="25792"/>
        <n v="34887"/>
        <n v="29583"/>
        <n v="30582"/>
        <n v="31040"/>
        <n v="26507"/>
        <n v="32642"/>
        <n v="34059"/>
        <n v="34749"/>
        <n v="33119"/>
        <n v="28606"/>
        <n v="26818"/>
        <n v="27312"/>
        <n v="27251"/>
        <n v="28241"/>
        <n v="30784"/>
        <n v="32180"/>
        <n v="25997"/>
        <n v="29624"/>
        <n v="29928"/>
        <n v="26911"/>
        <n v="33291"/>
        <n v="31880"/>
        <n v="33985"/>
        <n v="35818"/>
        <n v="34785"/>
        <n v="29528"/>
        <n v="31934"/>
        <n v="27770"/>
        <n v="27691"/>
        <n v="32822"/>
        <n v="35084"/>
        <n v="34687"/>
        <n v="36289"/>
        <n v="31312"/>
        <n v="26473"/>
        <n v="33788"/>
        <n v="33829"/>
        <n v="29340"/>
        <n v="34510"/>
        <n v="33753"/>
        <n v="35044"/>
        <n v="34363"/>
        <n v="30817"/>
        <n v="36307"/>
        <n v="34339"/>
        <n v="28875"/>
        <n v="25886"/>
        <n v="30369"/>
        <n v="25774"/>
        <n v="27896"/>
        <n v="29877"/>
        <n v="25712"/>
        <n v="32186"/>
        <n v="33330"/>
        <n v="31186"/>
        <n v="35335"/>
        <n v="29809"/>
        <n v="31204"/>
        <n v="26991"/>
        <n v="26966"/>
        <n v="30708"/>
        <n v="30764"/>
        <n v="28509"/>
        <n v="27199"/>
        <n v="29513"/>
        <n v="28700"/>
        <n v="31986"/>
        <n v="25900"/>
        <n v="34088"/>
        <n v="30646"/>
        <n v="27693"/>
        <n v="32830"/>
        <n v="33942"/>
        <n v="35291"/>
        <n v="35670"/>
        <n v="33242"/>
        <n v="30588"/>
        <n v="28601"/>
        <n v="31293"/>
        <n v="28007"/>
        <n v="34955"/>
        <n v="33682"/>
        <n v="28994"/>
        <n v="35755"/>
        <n v="32335"/>
        <n v="34593"/>
        <n v="32447"/>
        <n v="33878"/>
        <n v="33693"/>
        <n v="33752"/>
        <n v="29766"/>
        <n v="27339"/>
        <n v="28770"/>
        <n v="33152"/>
        <n v="32166"/>
        <n v="26404"/>
        <n v="33558"/>
        <n v="32812"/>
        <n v="29182"/>
        <n v="26258"/>
        <n v="31543"/>
        <n v="26226"/>
        <n v="32495"/>
        <n v="26268"/>
        <n v="30420"/>
        <n v="30614"/>
        <n v="35431"/>
        <n v="34065"/>
        <n v="36291"/>
        <n v="33671"/>
        <n v="31063"/>
        <n v="34743"/>
        <n v="32910"/>
        <n v="29487"/>
        <n v="34661"/>
        <n v="29437"/>
        <n v="35323"/>
        <n v="29553"/>
        <n v="33866"/>
        <n v="33987"/>
        <n v="30994"/>
        <n v="33402"/>
        <n v="31985"/>
        <n v="30431"/>
        <n v="27181"/>
        <n v="28474"/>
        <n v="28169"/>
        <n v="36308"/>
        <n v="30023"/>
        <n v="30573"/>
        <n v="33367"/>
        <n v="30194"/>
        <n v="26274"/>
        <n v="29613"/>
        <n v="35322"/>
        <n v="35106"/>
        <n v="30989"/>
        <n v="35399"/>
        <n v="34604"/>
        <n v="32955"/>
        <n v="32919"/>
        <n v="28607"/>
        <n v="28526"/>
        <n v="30551"/>
        <n v="25584"/>
        <n v="30211"/>
        <n v="35461"/>
        <n v="30674"/>
        <n v="25701"/>
        <n v="31128"/>
        <n v="27830"/>
        <n v="29034"/>
        <n v="33916"/>
        <n v="34170"/>
        <n v="32295"/>
        <n v="25721"/>
        <m/>
      </sharedItems>
    </cacheField>
    <cacheField name="CEP" numFmtId="0">
      <sharedItems containsString="0" containsBlank="1" containsNumber="1" containsInteger="1" minValue="20016798" maxValue="49991492"/>
    </cacheField>
    <cacheField name="Região" numFmtId="0">
      <sharedItems containsNonDate="0" containsString="0" containsBlank="1"/>
    </cacheField>
    <cacheField name="Estado" numFmtId="0">
      <sharedItems containsNonDate="0" containsString="0" containsBlank="1"/>
    </cacheField>
    <cacheField name="Data de Contratacao" numFmtId="0">
      <sharedItems containsString="0" containsBlank="1" containsNumber="1" containsInteger="1" minValue="32666" maxValue="43077"/>
    </cacheField>
    <cacheField name="Ano Contratação" numFmtId="0">
      <sharedItems containsNonDate="0" containsString="0" containsBlank="1"/>
    </cacheField>
    <cacheField name="Data de Demissao" numFmtId="14">
      <sharedItems containsDate="1" containsBlank="1" containsMixedTypes="1" minDate="1995-08-06T00:00:00" maxDate="2018-01-06T00:00:00"/>
    </cacheField>
    <cacheField name="Dias Uteis Trabalhados Ano Orcamentario" numFmtId="0">
      <sharedItems containsString="0" containsBlank="1" containsNumber="1" containsInteger="1" minValue="150" maxValue="250"/>
    </cacheField>
    <cacheField name="Salario Base" numFmtId="44">
      <sharedItems containsString="0" containsBlank="1" containsNumber="1" minValue="1032" maxValue="24949" count="537">
        <n v="21910"/>
        <n v="5404"/>
        <n v="16066"/>
        <n v="21305"/>
        <n v="5098"/>
        <n v="23688"/>
        <n v="17875"/>
        <n v="3540"/>
        <n v="23512"/>
        <n v="24857"/>
        <n v="9955"/>
        <n v="3179"/>
        <n v="22980"/>
        <n v="2182"/>
        <n v="22680"/>
        <n v="2411"/>
        <n v="15718"/>
        <n v="8460"/>
        <n v="4860"/>
        <n v="12499"/>
        <n v="19045"/>
        <n v="10726"/>
        <n v="9402"/>
        <n v="13024"/>
        <n v="23612"/>
        <n v="16364"/>
        <n v="1865"/>
        <n v="7601"/>
        <n v="11283"/>
        <n v="12104"/>
        <n v="9562"/>
        <n v="24271"/>
        <n v="20218"/>
        <n v="13652"/>
        <n v="10078"/>
        <n v="19456"/>
        <n v="3398"/>
        <n v="17475"/>
        <n v="14468"/>
        <n v="7129"/>
        <n v="16386"/>
        <n v="16167"/>
        <n v="3319"/>
        <n v="17930"/>
        <n v="3374"/>
        <n v="20030"/>
        <n v="7480"/>
        <n v="3947"/>
        <n v="24509"/>
        <n v="12394"/>
        <n v="12832"/>
        <n v="20951"/>
        <n v="1872"/>
        <n v="23391"/>
        <n v="3861"/>
        <n v="19297"/>
        <n v="24482"/>
        <n v="7049"/>
        <n v="8743"/>
        <n v="19379"/>
        <n v="13008"/>
        <n v="19843"/>
        <n v="11983"/>
        <n v="16484"/>
        <n v="11596"/>
        <n v="19441"/>
        <n v="12054"/>
        <n v="17943"/>
        <n v="4811"/>
        <n v="3391"/>
        <n v="16054"/>
        <n v="11867"/>
        <n v="2439"/>
        <n v="8831"/>
        <n v="9787"/>
        <n v="19621"/>
        <n v="20048"/>
        <n v="19086"/>
        <n v="17207"/>
        <n v="7833"/>
        <n v="12377"/>
        <n v="6677"/>
        <n v="6708"/>
        <n v="9326"/>
        <n v="20377"/>
        <n v="9062"/>
        <n v="11613"/>
        <n v="4182"/>
        <n v="18442"/>
        <n v="12101"/>
        <n v="2247"/>
        <n v="15433"/>
        <n v="4933"/>
        <n v="23792"/>
        <n v="12946"/>
        <n v="2952"/>
        <n v="22386"/>
        <n v="5026"/>
        <n v="18763"/>
        <n v="1961"/>
        <n v="21647"/>
        <n v="2378"/>
        <n v="5799"/>
        <n v="21660"/>
        <n v="21315"/>
        <n v="4626"/>
        <n v="14200"/>
        <n v="23323"/>
        <n v="15076"/>
        <n v="5556"/>
        <n v="9367"/>
        <n v="17393"/>
        <n v="22887"/>
        <n v="20141"/>
        <n v="19228"/>
        <n v="21154"/>
        <n v="17709"/>
        <n v="20424"/>
        <n v="13568"/>
        <n v="11655"/>
        <n v="9870"/>
        <n v="2782"/>
        <n v="17363"/>
        <n v="12559"/>
        <n v="10766"/>
        <n v="4001"/>
        <n v="14586"/>
        <n v="24021"/>
        <n v="21566"/>
        <n v="5818"/>
        <n v="7428"/>
        <n v="6887"/>
        <n v="11424"/>
        <n v="24769"/>
        <n v="13506"/>
        <n v="10961"/>
        <n v="17437"/>
        <n v="13893"/>
        <n v="15531"/>
        <n v="7254"/>
        <n v="24203"/>
        <n v="24598"/>
        <n v="10793"/>
        <n v="4048"/>
        <n v="8846"/>
        <n v="21354"/>
        <n v="6148"/>
        <n v="24596"/>
        <n v="5078"/>
        <n v="15939"/>
        <n v="14591"/>
        <n v="24814"/>
        <n v="24756"/>
        <n v="9986"/>
        <n v="5447"/>
        <n v="8431"/>
        <n v="21974"/>
        <n v="16859"/>
        <n v="11745"/>
        <n v="23850"/>
        <n v="8736"/>
        <n v="11304"/>
        <n v="13792"/>
        <n v="16148"/>
        <n v="15401"/>
        <n v="4212"/>
        <n v="3525"/>
        <n v="8960"/>
        <n v="12538"/>
        <n v="13732"/>
        <n v="22040"/>
        <n v="23092"/>
        <n v="18029"/>
        <n v="10608"/>
        <n v="12612"/>
        <n v="6737"/>
        <n v="7651"/>
        <n v="11457"/>
        <n v="12827"/>
        <n v="7865"/>
        <n v="2277"/>
        <n v="6703"/>
        <n v="23087"/>
        <n v="9906"/>
        <n v="10394"/>
        <n v="15573"/>
        <n v="14536"/>
        <n v="1367"/>
        <n v="21776"/>
        <n v="10870"/>
        <n v="14459"/>
        <n v="10967"/>
        <n v="11882"/>
        <n v="17093"/>
        <n v="5835"/>
        <n v="14652"/>
        <n v="8229"/>
        <n v="17804"/>
        <n v="12730"/>
        <n v="24949"/>
        <n v="6854"/>
        <n v="21870"/>
        <n v="20470"/>
        <n v="24410"/>
        <n v="19035"/>
        <n v="3480"/>
        <n v="14228"/>
        <n v="13049"/>
        <n v="7520"/>
        <n v="17514"/>
        <n v="4253"/>
        <n v="19553"/>
        <n v="20217"/>
        <n v="4702"/>
        <n v="15301"/>
        <n v="11342"/>
        <n v="16368"/>
        <n v="3421"/>
        <n v="15128"/>
        <n v="21959"/>
        <n v="9729"/>
        <n v="1548"/>
        <n v="12984"/>
        <n v="23845"/>
        <n v="20662"/>
        <n v="2351"/>
        <n v="22462"/>
        <n v="5070"/>
        <n v="23248"/>
        <n v="15589"/>
        <n v="16869"/>
        <n v="22286"/>
        <n v="11384"/>
        <n v="20411"/>
        <n v="8810"/>
        <n v="17871"/>
        <n v="20723"/>
        <n v="6827"/>
        <n v="3314"/>
        <n v="11321"/>
        <n v="15572"/>
        <n v="19633"/>
        <n v="5929"/>
        <n v="1032"/>
        <n v="3960"/>
        <n v="4368"/>
        <n v="4192"/>
        <n v="10707"/>
        <n v="5419"/>
        <n v="23873"/>
        <n v="2176"/>
        <n v="17534"/>
        <n v="12570"/>
        <n v="2707"/>
        <n v="16096"/>
        <n v="14507"/>
        <n v="13251"/>
        <n v="20089"/>
        <n v="5353"/>
        <n v="5774"/>
        <n v="4534"/>
        <n v="22198"/>
        <n v="3657"/>
        <n v="5505"/>
        <n v="7803"/>
        <n v="1425"/>
        <n v="18150"/>
        <n v="9841"/>
        <n v="2275"/>
        <n v="17487"/>
        <n v="19971"/>
        <n v="13638"/>
        <n v="12930"/>
        <n v="3972"/>
        <n v="10642"/>
        <n v="12763"/>
        <n v="3208"/>
        <n v="16801"/>
        <n v="20199"/>
        <n v="2918"/>
        <n v="19264"/>
        <n v="23024"/>
        <n v="9875"/>
        <n v="1917"/>
        <n v="24399"/>
        <n v="8689"/>
        <n v="7462"/>
        <n v="2318"/>
        <n v="21284"/>
        <n v="18385"/>
        <n v="11599"/>
        <n v="2432"/>
        <n v="4294"/>
        <n v="21263"/>
        <n v="2623"/>
        <n v="10159"/>
        <n v="9495"/>
        <n v="11136"/>
        <n v="4759"/>
        <n v="21130"/>
        <n v="13020"/>
        <n v="5584"/>
        <n v="8589"/>
        <n v="8954"/>
        <n v="9069"/>
        <n v="3481"/>
        <n v="1543"/>
        <n v="17671"/>
        <n v="23704"/>
        <n v="12672"/>
        <n v="10269"/>
        <n v="8995"/>
        <n v="5573"/>
        <n v="18822"/>
        <n v="9697"/>
        <n v="7748"/>
        <n v="23242"/>
        <n v="10178"/>
        <n v="4010"/>
        <n v="20854"/>
        <n v="14488"/>
        <n v="19557"/>
        <n v="21737"/>
        <n v="10700"/>
        <n v="1166"/>
        <n v="24199"/>
        <n v="4222"/>
        <n v="19408"/>
        <n v="15781"/>
        <n v="2005"/>
        <n v="6362"/>
        <n v="21374"/>
        <n v="17453"/>
        <n v="15615"/>
        <n v="24529"/>
        <n v="4864"/>
        <n v="22410"/>
        <n v="1332"/>
        <n v="4419"/>
        <n v="24747"/>
        <n v="16030"/>
        <n v="2121"/>
        <n v="5517"/>
        <n v="3885"/>
        <n v="10929"/>
        <n v="23708"/>
        <n v="11997"/>
        <n v="1673"/>
        <n v="15640"/>
        <n v="9479"/>
        <n v="7832"/>
        <n v="21919"/>
        <n v="16136"/>
        <n v="15917"/>
        <n v="3854"/>
        <n v="14768"/>
        <n v="19493"/>
        <n v="5279"/>
        <n v="15036"/>
        <n v="20822"/>
        <n v="1348"/>
        <n v="3668"/>
        <n v="2435"/>
        <n v="21301"/>
        <n v="1146"/>
        <n v="12971"/>
        <n v="17572"/>
        <n v="8339"/>
        <n v="3058"/>
        <n v="2475"/>
        <n v="16122"/>
        <n v="17297"/>
        <n v="13315"/>
        <n v="20415"/>
        <n v="1837"/>
        <n v="24792"/>
        <n v="19346"/>
        <n v="24345"/>
        <n v="23259"/>
        <n v="6147"/>
        <n v="12531"/>
        <n v="20944"/>
        <n v="16889"/>
        <n v="20899"/>
        <n v="16982"/>
        <n v="22230"/>
        <n v="5953"/>
        <n v="15464"/>
        <n v="11568"/>
        <n v="5545"/>
        <n v="7457"/>
        <n v="16637"/>
        <n v="14101"/>
        <n v="18348"/>
        <n v="6326"/>
        <n v="5193"/>
        <n v="24416"/>
        <n v="10064"/>
        <n v="24597"/>
        <n v="19233"/>
        <n v="19403"/>
        <n v="20566"/>
        <n v="6034"/>
        <n v="22374"/>
        <n v="6403"/>
        <n v="6361"/>
        <n v="14021"/>
        <n v="23747"/>
        <n v="1692"/>
        <n v="8304"/>
        <n v="20689"/>
        <n v="8392"/>
        <n v="5646"/>
        <n v="4628"/>
        <n v="10025"/>
        <n v="15645"/>
        <n v="2977"/>
        <n v="13886"/>
        <n v="11390"/>
        <n v="14125"/>
        <n v="12224"/>
        <n v="23547"/>
        <n v="21021"/>
        <n v="7259"/>
        <n v="6630"/>
        <n v="20663"/>
        <n v="21594"/>
        <n v="21631"/>
        <n v="23631"/>
        <n v="4103"/>
        <n v="20238"/>
        <n v="16557"/>
        <n v="13150"/>
        <n v="11131"/>
        <n v="11639"/>
        <n v="15856"/>
        <n v="20416"/>
        <n v="16508"/>
        <n v="8805"/>
        <n v="14552"/>
        <n v="10253"/>
        <n v="7221"/>
        <n v="3216"/>
        <n v="7077"/>
        <n v="18381"/>
        <n v="14823"/>
        <n v="15224"/>
        <n v="15265"/>
        <n v="2506"/>
        <n v="20918"/>
        <n v="16316"/>
        <n v="11258"/>
        <n v="2966"/>
        <n v="21885"/>
        <n v="19314"/>
        <n v="14225"/>
        <n v="17184"/>
        <n v="5989"/>
        <n v="15290"/>
        <n v="1486"/>
        <n v="20699"/>
        <n v="1838"/>
        <n v="23018"/>
        <n v="8005"/>
        <n v="1094"/>
        <n v="22039"/>
        <n v="7228"/>
        <n v="10551"/>
        <n v="11843"/>
        <n v="6992"/>
        <n v="8241"/>
        <n v="2543"/>
        <n v="16187"/>
        <n v="9542"/>
        <n v="21796"/>
        <n v="4566"/>
        <n v="8832"/>
        <n v="12636"/>
        <n v="1217"/>
        <n v="15922"/>
        <n v="18304"/>
        <n v="15356"/>
        <n v="6803"/>
        <n v="13808"/>
        <n v="2270"/>
        <n v="11171"/>
        <n v="16267"/>
        <n v="7665"/>
        <n v="4968"/>
        <n v="16621"/>
        <n v="5363"/>
        <n v="6710"/>
        <n v="23256"/>
        <n v="17162"/>
        <n v="20338"/>
        <n v="13296"/>
        <n v="19609"/>
        <n v="24070"/>
        <n v="17258"/>
        <n v="7240"/>
        <n v="19792"/>
        <n v="22506"/>
        <n v="13725"/>
        <n v="19255"/>
        <n v="8085"/>
        <n v="15934"/>
        <n v="4059"/>
        <n v="1410"/>
        <n v="6455"/>
        <n v="3505"/>
        <n v="10885"/>
        <n v="10136"/>
        <n v="18080"/>
        <n v="6652"/>
        <n v="4487"/>
        <n v="10313"/>
        <n v="11403"/>
        <n v="24566"/>
        <n v="3224"/>
        <n v="1949"/>
        <n v="3375"/>
        <n v="3693"/>
        <n v="7092"/>
        <n v="17701"/>
        <n v="12127"/>
        <n v="5299"/>
        <n v="2963"/>
        <n v="21958"/>
        <n v="14058"/>
        <n v="3934"/>
        <n v="21622"/>
        <n v="7552"/>
        <n v="1372"/>
        <n v="11791"/>
        <n v="8932"/>
        <n v="12706.512059369203"/>
        <m/>
      </sharedItems>
    </cacheField>
    <cacheField name="Impostos" numFmtId="0">
      <sharedItems containsString="0" containsBlank="1" containsNumber="1" minValue="516" maxValue="12474.5" count="536">
        <n v="10955"/>
        <n v="2702"/>
        <n v="8033"/>
        <n v="10652.5"/>
        <n v="2549"/>
        <n v="11844"/>
        <n v="8937.5"/>
        <n v="1770"/>
        <n v="11756"/>
        <n v="12428.5"/>
        <n v="4977.5"/>
        <n v="1589.5"/>
        <n v="11490"/>
        <n v="1091"/>
        <n v="11340"/>
        <n v="1205.5"/>
        <n v="7859"/>
        <n v="4230"/>
        <n v="2430"/>
        <n v="6249.5"/>
        <n v="9522.5"/>
        <n v="5363"/>
        <n v="4701"/>
        <n v="6512"/>
        <n v="11806"/>
        <n v="8182"/>
        <n v="932.5"/>
        <n v="3800.5"/>
        <n v="5641.5"/>
        <n v="6052"/>
        <n v="4781"/>
        <n v="12135.5"/>
        <n v="10109"/>
        <n v="6826"/>
        <n v="5039"/>
        <n v="9728"/>
        <n v="1699"/>
        <n v="8737.5"/>
        <n v="7234"/>
        <n v="3564.5"/>
        <n v="8193"/>
        <n v="8083.5"/>
        <n v="1659.5"/>
        <n v="8965"/>
        <n v="1687"/>
        <n v="10015"/>
        <n v="3740"/>
        <n v="1973.5"/>
        <n v="12254.5"/>
        <n v="6197"/>
        <n v="6416"/>
        <n v="10475.5"/>
        <n v="936"/>
        <n v="11695.5"/>
        <n v="1930.5"/>
        <n v="9648.5"/>
        <n v="12241"/>
        <n v="3524.5"/>
        <n v="4371.5"/>
        <n v="9689.5"/>
        <n v="6504"/>
        <n v="9921.5"/>
        <n v="5991.5"/>
        <n v="8242"/>
        <n v="5798"/>
        <n v="9720.5"/>
        <n v="6027"/>
        <n v="8971.5"/>
        <n v="2405.5"/>
        <n v="1695.5"/>
        <n v="8027"/>
        <n v="5933.5"/>
        <n v="1219.5"/>
        <n v="4415.5"/>
        <n v="4893.5"/>
        <n v="9810.5"/>
        <n v="10024"/>
        <n v="9543"/>
        <n v="8603.5"/>
        <n v="3916.5"/>
        <n v="6188.5"/>
        <n v="3338.5"/>
        <n v="3354"/>
        <n v="4663"/>
        <n v="10188.5"/>
        <n v="4531"/>
        <n v="5806.5"/>
        <n v="2091"/>
        <n v="9221"/>
        <n v="6050.5"/>
        <n v="1123.5"/>
        <n v="7716.5"/>
        <n v="2466.5"/>
        <n v="11896"/>
        <n v="6473"/>
        <n v="1476"/>
        <n v="11193"/>
        <n v="2513"/>
        <n v="9381.5"/>
        <n v="980.5"/>
        <n v="10823.5"/>
        <n v="1189"/>
        <n v="2899.5"/>
        <n v="10830"/>
        <n v="10657.5"/>
        <n v="2313"/>
        <n v="7100"/>
        <n v="11661.5"/>
        <n v="7538"/>
        <n v="2778"/>
        <n v="4683.5"/>
        <n v="8696.5"/>
        <n v="11443.5"/>
        <n v="10070.5"/>
        <n v="9614"/>
        <n v="10577"/>
        <n v="8854.5"/>
        <n v="10212"/>
        <n v="6784"/>
        <n v="5827.5"/>
        <n v="4935"/>
        <n v="1391"/>
        <n v="8681.5"/>
        <n v="6279.5"/>
        <n v="5383"/>
        <n v="2000.5"/>
        <n v="7293"/>
        <n v="12010.5"/>
        <n v="10783"/>
        <n v="2909"/>
        <n v="3714"/>
        <n v="3443.5"/>
        <n v="5712"/>
        <n v="12384.5"/>
        <n v="6753"/>
        <n v="5480.5"/>
        <n v="8718.5"/>
        <n v="6946.5"/>
        <n v="7765.5"/>
        <n v="3627"/>
        <n v="12101.5"/>
        <n v="12299"/>
        <n v="5396.5"/>
        <n v="2024"/>
        <n v="4423"/>
        <n v="10677"/>
        <n v="3074"/>
        <n v="12298"/>
        <n v="2539"/>
        <n v="7969.5"/>
        <n v="7295.5"/>
        <n v="12407"/>
        <n v="12378"/>
        <n v="4993"/>
        <n v="2723.5"/>
        <n v="4215.5"/>
        <n v="10987"/>
        <n v="8429.5"/>
        <n v="5872.5"/>
        <n v="11925"/>
        <n v="4368"/>
        <n v="5652"/>
        <n v="6896"/>
        <n v="8074"/>
        <n v="7700.5"/>
        <n v="2106"/>
        <n v="1762.5"/>
        <n v="4480"/>
        <n v="6269"/>
        <n v="6866"/>
        <n v="11020"/>
        <n v="11546"/>
        <n v="9014.5"/>
        <n v="5304"/>
        <n v="6306"/>
        <n v="3368.5"/>
        <n v="3825.5"/>
        <n v="5728.5"/>
        <n v="6413.5"/>
        <n v="3932.5"/>
        <n v="1138.5"/>
        <n v="3351.5"/>
        <n v="11543.5"/>
        <n v="4953"/>
        <n v="5197"/>
        <n v="7786.5"/>
        <n v="7268"/>
        <n v="683.5"/>
        <n v="10888"/>
        <n v="5435"/>
        <n v="7229.5"/>
        <n v="5483.5"/>
        <n v="5941"/>
        <n v="8546.5"/>
        <n v="2917.5"/>
        <n v="7326"/>
        <n v="4114.5"/>
        <n v="8902"/>
        <n v="6365"/>
        <n v="12474.5"/>
        <n v="3427"/>
        <n v="10935"/>
        <n v="10235"/>
        <n v="12205"/>
        <n v="9517.5"/>
        <n v="1740"/>
        <n v="7114"/>
        <n v="6524.5"/>
        <n v="3760"/>
        <n v="8757"/>
        <n v="2126.5"/>
        <n v="9776.5"/>
        <n v="10108.5"/>
        <n v="2351"/>
        <n v="7650.5"/>
        <n v="5671"/>
        <n v="8184"/>
        <n v="1710.5"/>
        <n v="7564"/>
        <n v="10979.5"/>
        <n v="4864.5"/>
        <n v="774"/>
        <n v="6492"/>
        <n v="11922.5"/>
        <n v="10331"/>
        <n v="1175.5"/>
        <n v="11231"/>
        <n v="2535"/>
        <n v="11624"/>
        <n v="7794.5"/>
        <n v="8434.5"/>
        <n v="11143"/>
        <n v="5692"/>
        <n v="10205.5"/>
        <n v="4405"/>
        <n v="8935.5"/>
        <n v="10361.5"/>
        <n v="3413.5"/>
        <n v="1657"/>
        <n v="5660.5"/>
        <n v="7786"/>
        <n v="9816.5"/>
        <n v="2964.5"/>
        <n v="516"/>
        <n v="1980"/>
        <n v="2184"/>
        <n v="2096"/>
        <n v="5353.5"/>
        <n v="2709.5"/>
        <n v="11936.5"/>
        <n v="1088"/>
        <n v="8767"/>
        <n v="6285"/>
        <n v="1353.5"/>
        <n v="8048"/>
        <n v="7253.5"/>
        <n v="6625.5"/>
        <n v="10044.5"/>
        <n v="2676.5"/>
        <n v="2887"/>
        <n v="2267"/>
        <n v="11099"/>
        <n v="1828.5"/>
        <n v="2752.5"/>
        <n v="3901.5"/>
        <n v="712.5"/>
        <n v="9075"/>
        <n v="4920.5"/>
        <n v="1137.5"/>
        <n v="8743.5"/>
        <n v="9985.5"/>
        <n v="6819"/>
        <n v="6465"/>
        <n v="1986"/>
        <n v="5321"/>
        <n v="6381.5"/>
        <n v="1604"/>
        <n v="8400.5"/>
        <n v="10099.5"/>
        <n v="1459"/>
        <n v="9632"/>
        <n v="11512"/>
        <n v="4937.5"/>
        <n v="958.5"/>
        <n v="12199.5"/>
        <n v="4344.5"/>
        <n v="3731"/>
        <n v="1159"/>
        <n v="10642"/>
        <n v="9192.5"/>
        <n v="5799.5"/>
        <n v="1216"/>
        <n v="2147"/>
        <n v="10631.5"/>
        <n v="1311.5"/>
        <n v="5079.5"/>
        <n v="4747.5"/>
        <n v="5568"/>
        <n v="2379.5"/>
        <n v="10565"/>
        <n v="6510"/>
        <n v="2792"/>
        <n v="4294.5"/>
        <n v="4477"/>
        <n v="4534.5"/>
        <n v="1740.5"/>
        <n v="771.5"/>
        <n v="8835.5"/>
        <n v="11852"/>
        <n v="6336"/>
        <n v="5134.5"/>
        <n v="4497.5"/>
        <n v="2786.5"/>
        <n v="9411"/>
        <n v="4848.5"/>
        <n v="3874"/>
        <n v="11621"/>
        <n v="5089"/>
        <n v="2005"/>
        <n v="10427"/>
        <n v="7244"/>
        <n v="9778.5"/>
        <n v="10868.5"/>
        <n v="5350"/>
        <n v="583"/>
        <n v="12099.5"/>
        <n v="2111"/>
        <n v="9704"/>
        <n v="7890.5"/>
        <n v="1002.5"/>
        <n v="3181"/>
        <n v="10687"/>
        <n v="8726.5"/>
        <n v="7807.5"/>
        <n v="12264.5"/>
        <n v="2432"/>
        <n v="11205"/>
        <n v="666"/>
        <n v="2209.5"/>
        <n v="12373.5"/>
        <n v="8015"/>
        <n v="1060.5"/>
        <n v="2758.5"/>
        <n v="1942.5"/>
        <n v="5464.5"/>
        <n v="11854"/>
        <n v="5998.5"/>
        <n v="836.5"/>
        <n v="7820"/>
        <n v="4739.5"/>
        <n v="3916"/>
        <n v="10959.5"/>
        <n v="8068"/>
        <n v="7958.5"/>
        <n v="1927"/>
        <n v="7384"/>
        <n v="9746.5"/>
        <n v="2639.5"/>
        <n v="7518"/>
        <n v="10411"/>
        <n v="674"/>
        <n v="1834"/>
        <n v="1217.5"/>
        <n v="10650.5"/>
        <n v="573"/>
        <n v="6485.5"/>
        <n v="8786"/>
        <n v="4169.5"/>
        <n v="1529"/>
        <n v="1237.5"/>
        <n v="8061"/>
        <n v="8648.5"/>
        <n v="6657.5"/>
        <n v="10207.5"/>
        <n v="918.5"/>
        <n v="12396"/>
        <n v="9673"/>
        <n v="12172.5"/>
        <n v="11629.5"/>
        <n v="3073.5"/>
        <n v="6265.5"/>
        <n v="10472"/>
        <n v="8444.5"/>
        <n v="10449.5"/>
        <n v="8491"/>
        <n v="11115"/>
        <n v="2976.5"/>
        <n v="7732"/>
        <n v="5784"/>
        <n v="2772.5"/>
        <n v="3728.5"/>
        <n v="8318.5"/>
        <n v="7050.5"/>
        <n v="9174"/>
        <n v="3163"/>
        <n v="2596.5"/>
        <n v="12208"/>
        <n v="5032"/>
        <n v="12298.5"/>
        <n v="9616.5"/>
        <n v="9701.5"/>
        <n v="10283"/>
        <n v="3017"/>
        <n v="11187"/>
        <n v="3201.5"/>
        <n v="3180.5"/>
        <n v="7010.5"/>
        <n v="11873.5"/>
        <n v="846"/>
        <n v="4152"/>
        <n v="10344.5"/>
        <n v="4196"/>
        <n v="2823"/>
        <n v="2314"/>
        <n v="5012.5"/>
        <n v="7822.5"/>
        <n v="1488.5"/>
        <n v="6943"/>
        <n v="5695"/>
        <n v="7062.5"/>
        <n v="6112"/>
        <n v="11773.5"/>
        <n v="10510.5"/>
        <n v="3629.5"/>
        <n v="3315"/>
        <n v="10331.5"/>
        <n v="10797"/>
        <n v="10815.5"/>
        <n v="11815.5"/>
        <n v="2051.5"/>
        <n v="10119"/>
        <n v="8278.5"/>
        <n v="6575"/>
        <n v="5565.5"/>
        <n v="5819.5"/>
        <n v="7928"/>
        <n v="10208"/>
        <n v="8254"/>
        <n v="4402.5"/>
        <n v="7276"/>
        <n v="5126.5"/>
        <n v="3610.5"/>
        <n v="1608"/>
        <n v="3538.5"/>
        <n v="9190.5"/>
        <n v="7411.5"/>
        <n v="7612"/>
        <n v="7632.5"/>
        <n v="1253"/>
        <n v="10459"/>
        <n v="8158"/>
        <n v="5629"/>
        <n v="1483"/>
        <n v="10942.5"/>
        <n v="9657"/>
        <n v="7112.5"/>
        <n v="8592"/>
        <n v="2994.5"/>
        <n v="7645"/>
        <n v="743"/>
        <n v="10349.5"/>
        <n v="919"/>
        <n v="11509"/>
        <n v="4002.5"/>
        <n v="547"/>
        <n v="11019.5"/>
        <n v="3614"/>
        <n v="5275.5"/>
        <n v="5921.5"/>
        <n v="3496"/>
        <n v="4120.5"/>
        <n v="1271.5"/>
        <n v="8093.5"/>
        <n v="4771"/>
        <n v="10898"/>
        <n v="2283"/>
        <n v="4416"/>
        <n v="6318"/>
        <n v="608.5"/>
        <n v="7961"/>
        <n v="9152"/>
        <n v="7678"/>
        <n v="3401.5"/>
        <n v="6904"/>
        <n v="1135"/>
        <n v="5585.5"/>
        <n v="8133.5"/>
        <n v="3832.5"/>
        <n v="2484"/>
        <n v="8310.5"/>
        <n v="2681.5"/>
        <n v="3355"/>
        <n v="11628"/>
        <n v="8581"/>
        <n v="10169"/>
        <n v="6648"/>
        <n v="9804.5"/>
        <n v="12035"/>
        <n v="8629"/>
        <n v="3620"/>
        <n v="9896"/>
        <n v="11253"/>
        <n v="6862.5"/>
        <n v="9627.5"/>
        <n v="4042.5"/>
        <n v="7967"/>
        <n v="2029.5"/>
        <n v="705"/>
        <n v="3227.5"/>
        <n v="1752.5"/>
        <n v="5442.5"/>
        <n v="5068"/>
        <n v="9040"/>
        <n v="3326"/>
        <n v="2243.5"/>
        <n v="5156.5"/>
        <n v="5701.5"/>
        <n v="12283"/>
        <n v="1612"/>
        <n v="974.5"/>
        <n v="1687.5"/>
        <n v="1846.5"/>
        <n v="3546"/>
        <n v="8850.5"/>
        <n v="6063.5"/>
        <n v="2649.5"/>
        <n v="1481.5"/>
        <n v="10979"/>
        <n v="7029"/>
        <n v="1967"/>
        <n v="10811"/>
        <n v="3776"/>
        <n v="686"/>
        <n v="5895.5"/>
        <n v="4466"/>
        <m/>
      </sharedItems>
    </cacheField>
    <cacheField name="Beneficios" numFmtId="0">
      <sharedItems containsString="0" containsBlank="1" containsNumber="1" minValue="206.4" maxValue="4989.8"/>
    </cacheField>
    <cacheField name="VT" numFmtId="0">
      <sharedItems containsString="0" containsBlank="1" containsNumber="1" containsInteger="1" minValue="154" maxValue="308"/>
    </cacheField>
    <cacheField name="VR" numFmtId="44">
      <sharedItems containsString="0" containsBlank="1" containsNumber="1" minValue="504" maxValue="840"/>
    </cacheField>
    <cacheField name="Cargo" numFmtId="0">
      <sharedItems containsBlank="1" count="26">
        <s v="OPV"/>
        <s v="LOI"/>
        <s v="ADI"/>
        <s v="ADII"/>
        <s v="OPII"/>
        <s v="FIV"/>
        <s v="FIII"/>
        <s v="ADIII"/>
        <s v="LOIV"/>
        <s v="FII"/>
        <s v="LOIII"/>
        <s v="COIII"/>
        <s v="COIV"/>
        <s v="ADV"/>
        <s v="FIIII"/>
        <s v="LOII"/>
        <s v="OPIV"/>
        <s v="COII"/>
        <s v="OPI"/>
        <s v="COI"/>
        <s v="OPIII"/>
        <s v="ADIV"/>
        <s v="FIIV"/>
        <s v="LOV"/>
        <s v="COV"/>
        <m/>
      </sharedItems>
    </cacheField>
    <cacheField name="Nível" numFmtId="0">
      <sharedItems containsBlank="1" count="6">
        <s v="Diretor"/>
        <s v="Estagiário"/>
        <s v="Analista"/>
        <s v="Coordenador"/>
        <s v="Gerente"/>
        <m/>
      </sharedItems>
    </cacheField>
    <cacheField name="Área" numFmtId="0">
      <sharedItems containsBlank="1" count="6">
        <s v="Operações"/>
        <s v="Logísitca"/>
        <s v="Administrativo"/>
        <s v="Financeiro"/>
        <s v="Comercial"/>
        <m/>
      </sharedItems>
    </cacheField>
    <cacheField name="Quadro" numFmtId="0">
      <sharedItems containsBlank="1"/>
    </cacheField>
    <cacheField name="Bonus" numFmtId="0">
      <sharedItems containsBlank="1"/>
    </cacheField>
    <cacheField name="Contratação" numFmtId="0">
      <sharedItems containsBlank="1"/>
    </cacheField>
    <cacheField name="Codigos" numFmtId="0">
      <sharedItems containsBlank="1"/>
    </cacheField>
    <cacheField name="Quantidade de Acessos" numFmtId="0">
      <sharedItems containsString="0" containsBlank="1" containsNumber="1" containsInteger="1" minValue="20" maxValue="150"/>
    </cacheField>
    <cacheField name="Ferias Acumuladas" numFmtId="0">
      <sharedItems containsString="0" containsBlank="1" containsNumber="1" containsInteger="1" minValue="0" maxValue="60"/>
    </cacheField>
    <cacheField name="Ferias Remuneradas" numFmtId="0">
      <sharedItems containsNonDate="0" containsString="0" containsBlank="1"/>
    </cacheField>
    <cacheField name="Horas Extras" numFmtId="0">
      <sharedItems containsString="0" containsBlank="1" containsNumber="1" containsInteger="1" minValue="0" maxValue="200"/>
    </cacheField>
    <cacheField name="Valores Adicionais" numFmtId="0">
      <sharedItems containsString="0" containsBlank="1" containsNumber="1" containsInteger="1" minValue="15" maxValue="1500"/>
    </cacheField>
    <cacheField name="ID de Pessoal" numFmtId="0">
      <sharedItems containsNonDate="0" containsString="0" containsBlank="1"/>
    </cacheField>
    <cacheField name="ID da 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1"/>
    <n v="455550390"/>
    <x v="0"/>
    <n v="6482"/>
    <x v="0"/>
    <x v="0"/>
    <s v="gabriel.mesquita"/>
    <x v="0"/>
    <n v="20125535"/>
    <m/>
    <m/>
    <n v="38792"/>
    <m/>
    <s v=""/>
    <n v="214"/>
    <x v="0"/>
    <x v="0"/>
    <n v="4382"/>
    <n v="242"/>
    <n v="719.04"/>
    <x v="0"/>
    <x v="0"/>
    <x v="0"/>
    <s v="Efetivo"/>
    <s v="S"/>
    <s v="Diretoria"/>
    <s v="UAK1729-MCG"/>
    <n v="140"/>
    <n v="47"/>
    <m/>
    <n v="97"/>
    <m/>
    <m/>
    <s v="010"/>
  </r>
  <r>
    <n v="2"/>
    <n v="732355385"/>
    <x v="1"/>
    <n v="6177"/>
    <x v="0"/>
    <x v="1"/>
    <s v="joão.haddad"/>
    <x v="1"/>
    <n v="25995770"/>
    <m/>
    <m/>
    <n v="39605"/>
    <m/>
    <s v=""/>
    <n v="171"/>
    <x v="1"/>
    <x v="1"/>
    <n v="1080.8"/>
    <n v="154"/>
    <n v="574.55999999999995"/>
    <x v="1"/>
    <x v="1"/>
    <x v="1"/>
    <s v="Efetivo"/>
    <s v="N"/>
    <s v="Gerente"/>
    <s v="QDI6697-POC"/>
    <n v="143"/>
    <n v="31"/>
    <m/>
    <n v="166"/>
    <m/>
    <m/>
    <s v="545"/>
  </r>
  <r>
    <n v="3"/>
    <n v="943205737"/>
    <x v="2"/>
    <n v="7736"/>
    <x v="0"/>
    <x v="2"/>
    <s v="amanda.ribeiro"/>
    <x v="2"/>
    <n v="37278465"/>
    <m/>
    <m/>
    <n v="39450"/>
    <m/>
    <s v=""/>
    <n v="217"/>
    <x v="2"/>
    <x v="2"/>
    <n v="3213.2000000000003"/>
    <n v="154"/>
    <n v="729.12"/>
    <x v="2"/>
    <x v="1"/>
    <x v="2"/>
    <s v="Efetivo"/>
    <s v="N"/>
    <s v="Gerente"/>
    <s v="AJB6796-ZAR"/>
    <n v="110"/>
    <n v="60"/>
    <m/>
    <n v="188"/>
    <m/>
    <m/>
    <s v="213"/>
  </r>
  <r>
    <n v="4"/>
    <n v="968298499"/>
    <x v="3"/>
    <n v="5238"/>
    <x v="0"/>
    <x v="3"/>
    <s v="guilherme.nunez"/>
    <x v="3"/>
    <n v="49897703"/>
    <m/>
    <m/>
    <n v="40666"/>
    <m/>
    <s v=""/>
    <n v="156"/>
    <x v="3"/>
    <x v="3"/>
    <n v="4261"/>
    <n v="220"/>
    <n v="524.16"/>
    <x v="3"/>
    <x v="2"/>
    <x v="2"/>
    <s v="Terceiro"/>
    <s v="N"/>
    <s v="RH"/>
    <s v="UXE5742-IZD"/>
    <n v="101"/>
    <n v="41"/>
    <m/>
    <n v="176"/>
    <m/>
    <m/>
    <s v="213"/>
  </r>
  <r>
    <n v="5"/>
    <n v="332164465"/>
    <x v="4"/>
    <n v="5182"/>
    <x v="0"/>
    <x v="4"/>
    <s v="adelino.gomes"/>
    <x v="4"/>
    <n v="30149335"/>
    <m/>
    <m/>
    <n v="36601"/>
    <m/>
    <s v=""/>
    <n v="216"/>
    <x v="4"/>
    <x v="4"/>
    <n v="1019.6"/>
    <n v="176"/>
    <n v="725.76"/>
    <x v="3"/>
    <x v="2"/>
    <x v="2"/>
    <s v="Terceiro"/>
    <s v="N"/>
    <s v="RH"/>
    <s v="OKI6642-TSV"/>
    <n v="35"/>
    <n v="9"/>
    <m/>
    <n v="121"/>
    <m/>
    <m/>
    <s v="213"/>
  </r>
  <r>
    <n v="6"/>
    <n v="308540039"/>
    <x v="5"/>
    <n v="7725"/>
    <x v="0"/>
    <x v="5"/>
    <s v="audir.goulart"/>
    <x v="5"/>
    <n v="22796750"/>
    <m/>
    <m/>
    <n v="42898"/>
    <m/>
    <s v=""/>
    <n v="177"/>
    <x v="5"/>
    <x v="5"/>
    <n v="4737.6000000000004"/>
    <n v="242"/>
    <n v="594.71999999999991"/>
    <x v="4"/>
    <x v="2"/>
    <x v="0"/>
    <s v="Terceiro"/>
    <s v="N"/>
    <s v="RH"/>
    <s v="EOZ6407-AHG"/>
    <n v="75"/>
    <n v="27"/>
    <m/>
    <n v="55"/>
    <n v="150"/>
    <m/>
    <s v="010"/>
  </r>
  <r>
    <n v="7"/>
    <n v="970144682"/>
    <x v="6"/>
    <n v="3428"/>
    <x v="0"/>
    <x v="6"/>
    <s v="zilma.guimarães"/>
    <x v="6"/>
    <n v="44060184"/>
    <m/>
    <m/>
    <n v="43001"/>
    <m/>
    <s v=""/>
    <n v="242"/>
    <x v="6"/>
    <x v="6"/>
    <n v="3575"/>
    <n v="286"/>
    <n v="813.12"/>
    <x v="5"/>
    <x v="0"/>
    <x v="3"/>
    <s v="Efetivo"/>
    <s v="S"/>
    <s v="Diretoria"/>
    <s v="NFQ7851-CCO"/>
    <n v="62"/>
    <n v="6"/>
    <m/>
    <n v="98"/>
    <m/>
    <m/>
    <s v="322"/>
  </r>
  <r>
    <n v="8"/>
    <n v="605178030"/>
    <x v="7"/>
    <n v="4276"/>
    <x v="0"/>
    <x v="7"/>
    <s v="gil.bonder"/>
    <x v="7"/>
    <n v="43115256"/>
    <m/>
    <m/>
    <n v="39251"/>
    <m/>
    <s v=""/>
    <n v="229"/>
    <x v="7"/>
    <x v="7"/>
    <n v="708"/>
    <n v="198"/>
    <n v="769.44"/>
    <x v="4"/>
    <x v="2"/>
    <x v="0"/>
    <s v="Terceiro"/>
    <s v="N"/>
    <s v="RH"/>
    <s v="PRS1638-RLS"/>
    <n v="121"/>
    <n v="12"/>
    <m/>
    <n v="37"/>
    <m/>
    <m/>
    <s v="010"/>
  </r>
  <r>
    <n v="9"/>
    <n v="861631953"/>
    <x v="8"/>
    <n v="6625"/>
    <x v="1"/>
    <x v="8"/>
    <s v="gustavo.teixeira"/>
    <x v="8"/>
    <n v="34949262"/>
    <m/>
    <m/>
    <n v="39629"/>
    <m/>
    <s v=""/>
    <n v="222"/>
    <x v="8"/>
    <x v="8"/>
    <n v="4702.4000000000005"/>
    <n v="242"/>
    <n v="745.92000000000007"/>
    <x v="6"/>
    <x v="2"/>
    <x v="3"/>
    <s v="Terceiro"/>
    <s v="N"/>
    <s v="RH"/>
    <s v="NLT6797-NHJ"/>
    <n v="90"/>
    <n v="49"/>
    <m/>
    <n v="116"/>
    <m/>
    <m/>
    <s v="322"/>
  </r>
  <r>
    <n v="10"/>
    <n v="156468673"/>
    <x v="9"/>
    <n v="4219"/>
    <x v="1"/>
    <x v="9"/>
    <s v="andre.campos"/>
    <x v="9"/>
    <n v="34786165"/>
    <m/>
    <m/>
    <n v="41330"/>
    <m/>
    <s v=""/>
    <n v="214"/>
    <x v="9"/>
    <x v="9"/>
    <n v="4971.4000000000005"/>
    <n v="264"/>
    <n v="719.04"/>
    <x v="7"/>
    <x v="3"/>
    <x v="2"/>
    <s v="Terceiro"/>
    <s v="N"/>
    <s v="RH"/>
    <s v="SXZ6534-MCZ"/>
    <n v="55"/>
    <n v="21"/>
    <m/>
    <n v="164"/>
    <m/>
    <m/>
    <s v="213"/>
  </r>
  <r>
    <n v="11"/>
    <n v="182915795"/>
    <x v="10"/>
    <n v="3626"/>
    <x v="1"/>
    <x v="10"/>
    <s v="andré.soledade"/>
    <x v="10"/>
    <n v="47757686"/>
    <m/>
    <m/>
    <n v="35594"/>
    <m/>
    <s v=""/>
    <n v="214"/>
    <x v="10"/>
    <x v="10"/>
    <n v="1991"/>
    <n v="198"/>
    <n v="719.04"/>
    <x v="3"/>
    <x v="2"/>
    <x v="2"/>
    <s v="Terceiro"/>
    <s v="N"/>
    <s v="RH"/>
    <s v="LFE7557-VUB"/>
    <n v="142"/>
    <n v="6"/>
    <m/>
    <n v="191"/>
    <m/>
    <m/>
    <s v="213"/>
  </r>
  <r>
    <n v="12"/>
    <n v="413092549"/>
    <x v="11"/>
    <n v="1651"/>
    <x v="1"/>
    <x v="11"/>
    <s v="natalia.loureiro"/>
    <x v="11"/>
    <n v="49949843"/>
    <m/>
    <m/>
    <n v="32884"/>
    <m/>
    <d v="1999-12-21T00:00:00"/>
    <n v="168"/>
    <x v="11"/>
    <x v="11"/>
    <n v="635.80000000000007"/>
    <n v="154"/>
    <n v="564.48"/>
    <x v="3"/>
    <x v="2"/>
    <x v="2"/>
    <s v="Terceiro"/>
    <s v="N"/>
    <s v="RH"/>
    <s v="GGD4018-YSH"/>
    <n v="95"/>
    <n v="11"/>
    <m/>
    <n v="50"/>
    <n v="1500"/>
    <m/>
    <s v="213"/>
  </r>
  <r>
    <n v="13"/>
    <n v="658540057"/>
    <x v="12"/>
    <n v="2749"/>
    <x v="0"/>
    <x v="12"/>
    <s v="luca.costa"/>
    <x v="12"/>
    <n v="29865779"/>
    <m/>
    <m/>
    <n v="39782"/>
    <m/>
    <s v=""/>
    <n v="196"/>
    <x v="12"/>
    <x v="12"/>
    <n v="4596"/>
    <n v="176"/>
    <n v="658.56"/>
    <x v="8"/>
    <x v="4"/>
    <x v="1"/>
    <s v="Efetivo"/>
    <s v="S"/>
    <s v="Diretoria"/>
    <s v="JDK1450-NTV"/>
    <n v="140"/>
    <n v="45"/>
    <m/>
    <n v="117"/>
    <m/>
    <m/>
    <s v="545"/>
  </r>
  <r>
    <n v="14"/>
    <n v="843569528"/>
    <x v="13"/>
    <n v="5853"/>
    <x v="0"/>
    <x v="13"/>
    <s v="jessica.lima"/>
    <x v="13"/>
    <n v="35975718"/>
    <m/>
    <m/>
    <n v="38018"/>
    <m/>
    <s v=""/>
    <n v="180"/>
    <x v="13"/>
    <x v="13"/>
    <n v="436.40000000000003"/>
    <n v="220"/>
    <n v="604.80000000000007"/>
    <x v="9"/>
    <x v="1"/>
    <x v="3"/>
    <s v="Efetivo"/>
    <s v="N"/>
    <s v="Gerente"/>
    <s v="FLF3450-RHQ"/>
    <n v="142"/>
    <n v="28"/>
    <m/>
    <n v="111"/>
    <m/>
    <m/>
    <s v="322"/>
  </r>
  <r>
    <n v="15"/>
    <n v="791412983"/>
    <x v="14"/>
    <n v="5261"/>
    <x v="0"/>
    <x v="14"/>
    <s v="caio.scalabrin"/>
    <x v="14"/>
    <n v="32029708"/>
    <m/>
    <m/>
    <n v="36024"/>
    <m/>
    <d v="2008-06-14T00:00:00"/>
    <n v="203"/>
    <x v="14"/>
    <x v="14"/>
    <n v="4536"/>
    <n v="242"/>
    <n v="682.07999999999993"/>
    <x v="7"/>
    <x v="3"/>
    <x v="2"/>
    <s v="Terceiro"/>
    <s v="N"/>
    <s v="RH"/>
    <s v="FRY7251-EVJ"/>
    <n v="54"/>
    <n v="25"/>
    <m/>
    <n v="77"/>
    <m/>
    <m/>
    <s v="213"/>
  </r>
  <r>
    <n v="16"/>
    <n v="472900409"/>
    <x v="15"/>
    <n v="2299"/>
    <x v="1"/>
    <x v="15"/>
    <s v="vinicius.freitas"/>
    <x v="15"/>
    <n v="25892815"/>
    <m/>
    <m/>
    <n v="42618"/>
    <m/>
    <s v=""/>
    <n v="236"/>
    <x v="15"/>
    <x v="15"/>
    <n v="482.20000000000005"/>
    <n v="264"/>
    <n v="792.96"/>
    <x v="6"/>
    <x v="2"/>
    <x v="3"/>
    <s v="Terceiro"/>
    <s v="N"/>
    <s v="RH"/>
    <s v="FVH3591-YKG"/>
    <n v="38"/>
    <n v="29"/>
    <m/>
    <n v="38"/>
    <m/>
    <m/>
    <s v="322"/>
  </r>
  <r>
    <n v="17"/>
    <n v="711435762"/>
    <x v="16"/>
    <n v="4017"/>
    <x v="1"/>
    <x v="16"/>
    <s v="pedro.carrera"/>
    <x v="16"/>
    <n v="35752243"/>
    <m/>
    <m/>
    <n v="33473"/>
    <m/>
    <s v=""/>
    <n v="187"/>
    <x v="16"/>
    <x v="16"/>
    <n v="3143.6000000000004"/>
    <n v="176"/>
    <n v="628.32000000000005"/>
    <x v="10"/>
    <x v="3"/>
    <x v="1"/>
    <s v="Terceiro"/>
    <s v="N"/>
    <s v="RH"/>
    <s v="YVU2316-INY"/>
    <n v="90"/>
    <n v="55"/>
    <m/>
    <n v="179"/>
    <m/>
    <m/>
    <s v="545"/>
  </r>
  <r>
    <n v="18"/>
    <n v="684665210"/>
    <x v="17"/>
    <n v="2858"/>
    <x v="1"/>
    <x v="17"/>
    <s v="isabella.bernardo"/>
    <x v="17"/>
    <n v="49335895"/>
    <m/>
    <m/>
    <n v="43033"/>
    <m/>
    <s v=""/>
    <n v="171"/>
    <x v="17"/>
    <x v="17"/>
    <n v="1692"/>
    <n v="308"/>
    <n v="574.55999999999995"/>
    <x v="11"/>
    <x v="3"/>
    <x v="4"/>
    <s v="Terceiro"/>
    <s v="N"/>
    <s v="RH"/>
    <s v="QXK4553-WLP"/>
    <n v="145"/>
    <n v="60"/>
    <m/>
    <n v="98"/>
    <m/>
    <m/>
    <s v="011"/>
  </r>
  <r>
    <n v="19"/>
    <n v="456872620"/>
    <x v="18"/>
    <n v="3290"/>
    <x v="1"/>
    <x v="18"/>
    <s v="felipe.melo"/>
    <x v="18"/>
    <n v="35144102"/>
    <m/>
    <m/>
    <n v="42204"/>
    <m/>
    <d v="2018-01-05T00:00:00"/>
    <n v="150"/>
    <x v="18"/>
    <x v="18"/>
    <n v="972"/>
    <n v="308"/>
    <n v="504"/>
    <x v="4"/>
    <x v="2"/>
    <x v="0"/>
    <s v="Terceiro"/>
    <s v="N"/>
    <s v="RH"/>
    <s v="FPP1975-CAF"/>
    <n v="70"/>
    <n v="40"/>
    <m/>
    <n v="55"/>
    <m/>
    <m/>
    <s v="010"/>
  </r>
  <r>
    <n v="20"/>
    <n v="306216162"/>
    <x v="19"/>
    <n v="7559"/>
    <x v="1"/>
    <x v="19"/>
    <s v="pedro.fontes"/>
    <x v="19"/>
    <n v="37298996"/>
    <m/>
    <m/>
    <n v="40570"/>
    <m/>
    <d v="2012-03-04T00:00:00"/>
    <n v="239"/>
    <x v="19"/>
    <x v="19"/>
    <n v="2499.8000000000002"/>
    <n v="176"/>
    <n v="803.04"/>
    <x v="4"/>
    <x v="2"/>
    <x v="0"/>
    <s v="Terceiro"/>
    <s v="N"/>
    <s v="RH"/>
    <s v="LGB7431-USR"/>
    <n v="146"/>
    <n v="44"/>
    <m/>
    <n v="11"/>
    <m/>
    <m/>
    <s v="010"/>
  </r>
  <r>
    <n v="21"/>
    <n v="107803754"/>
    <x v="20"/>
    <n v="4076"/>
    <x v="0"/>
    <x v="20"/>
    <s v="maria.lobo"/>
    <x v="20"/>
    <n v="29675378"/>
    <m/>
    <m/>
    <n v="39073"/>
    <m/>
    <s v=""/>
    <n v="249"/>
    <x v="20"/>
    <x v="20"/>
    <n v="3809"/>
    <n v="264"/>
    <n v="836.64"/>
    <x v="5"/>
    <x v="0"/>
    <x v="3"/>
    <s v="Efetivo"/>
    <s v="S"/>
    <s v="Diretoria"/>
    <s v="JWJ2767-YSO"/>
    <n v="97"/>
    <n v="31"/>
    <m/>
    <n v="133"/>
    <m/>
    <m/>
    <s v="322"/>
  </r>
  <r>
    <n v="22"/>
    <n v="676648702"/>
    <x v="21"/>
    <n v="3181"/>
    <x v="1"/>
    <x v="21"/>
    <s v="bruno.vargas"/>
    <x v="21"/>
    <n v="45877495"/>
    <m/>
    <m/>
    <n v="41346"/>
    <m/>
    <s v=""/>
    <n v="163"/>
    <x v="21"/>
    <x v="21"/>
    <n v="2145.2000000000003"/>
    <n v="198"/>
    <n v="547.67999999999995"/>
    <x v="12"/>
    <x v="4"/>
    <x v="4"/>
    <s v="Efetivo"/>
    <s v="S"/>
    <s v="Diretoria"/>
    <s v="PFJ8300-SVX"/>
    <n v="108"/>
    <n v="7"/>
    <m/>
    <n v="2"/>
    <m/>
    <m/>
    <s v="011"/>
  </r>
  <r>
    <n v="23"/>
    <n v="698776875"/>
    <x v="22"/>
    <n v="2198"/>
    <x v="1"/>
    <x v="22"/>
    <s v="bárbara.vieira"/>
    <x v="22"/>
    <n v="20448128"/>
    <m/>
    <m/>
    <n v="42906"/>
    <m/>
    <s v=""/>
    <n v="221"/>
    <x v="22"/>
    <x v="22"/>
    <n v="1880.4"/>
    <n v="154"/>
    <n v="742.56"/>
    <x v="2"/>
    <x v="1"/>
    <x v="2"/>
    <s v="Efetivo"/>
    <s v="N"/>
    <s v="Gerente"/>
    <s v="QAU7458-YVM"/>
    <n v="87"/>
    <n v="46"/>
    <m/>
    <n v="196"/>
    <m/>
    <m/>
    <s v="213"/>
  </r>
  <r>
    <n v="24"/>
    <n v="190380293"/>
    <x v="23"/>
    <n v="4917"/>
    <x v="1"/>
    <x v="23"/>
    <s v="andre.ramos"/>
    <x v="23"/>
    <n v="47499393"/>
    <m/>
    <m/>
    <n v="41633"/>
    <m/>
    <s v=""/>
    <n v="235"/>
    <x v="23"/>
    <x v="23"/>
    <n v="2604.8000000000002"/>
    <n v="286"/>
    <n v="789.6"/>
    <x v="0"/>
    <x v="0"/>
    <x v="0"/>
    <s v="Efetivo"/>
    <s v="S"/>
    <s v="Diretoria"/>
    <s v="ZPQ9134-WAU"/>
    <n v="77"/>
    <n v="1"/>
    <m/>
    <n v="82"/>
    <m/>
    <m/>
    <s v="010"/>
  </r>
  <r>
    <n v="25"/>
    <n v="669446675"/>
    <x v="24"/>
    <n v="4141"/>
    <x v="1"/>
    <x v="24"/>
    <s v="livia.mello"/>
    <x v="24"/>
    <n v="25310016"/>
    <m/>
    <m/>
    <n v="37802"/>
    <m/>
    <s v=""/>
    <n v="167"/>
    <x v="24"/>
    <x v="24"/>
    <n v="4722.4000000000005"/>
    <n v="264"/>
    <n v="561.12"/>
    <x v="13"/>
    <x v="0"/>
    <x v="2"/>
    <s v="Efetivo"/>
    <s v="S"/>
    <s v="Diretoria"/>
    <s v="HLZ4890-QRM"/>
    <n v="120"/>
    <n v="46"/>
    <m/>
    <n v="160"/>
    <m/>
    <m/>
    <s v="213"/>
  </r>
  <r>
    <n v="26"/>
    <n v="762921558"/>
    <x v="25"/>
    <n v="7408"/>
    <x v="0"/>
    <x v="25"/>
    <s v="jéssica.heimlich"/>
    <x v="25"/>
    <n v="31389047"/>
    <m/>
    <m/>
    <n v="41461"/>
    <m/>
    <s v=""/>
    <n v="190"/>
    <x v="25"/>
    <x v="25"/>
    <n v="3272.8"/>
    <n v="154"/>
    <n v="638.4"/>
    <x v="11"/>
    <x v="3"/>
    <x v="4"/>
    <s v="Terceiro"/>
    <s v="N"/>
    <s v="RH"/>
    <s v="VDR2490-DOT"/>
    <n v="77"/>
    <n v="57"/>
    <m/>
    <n v="2"/>
    <m/>
    <m/>
    <s v="011"/>
  </r>
  <r>
    <n v="27"/>
    <n v="633317875"/>
    <x v="26"/>
    <n v="6002"/>
    <x v="0"/>
    <x v="26"/>
    <s v="carolina.monteiro"/>
    <x v="26"/>
    <n v="31780433"/>
    <m/>
    <m/>
    <n v="40392"/>
    <m/>
    <s v=""/>
    <n v="189"/>
    <x v="26"/>
    <x v="26"/>
    <n v="373"/>
    <n v="198"/>
    <n v="635.04"/>
    <x v="14"/>
    <x v="3"/>
    <x v="3"/>
    <s v="Terceiro"/>
    <s v="N"/>
    <s v="RH"/>
    <s v="WRY5193-OZU"/>
    <n v="99"/>
    <n v="54"/>
    <m/>
    <n v="9"/>
    <m/>
    <m/>
    <s v="322"/>
  </r>
  <r>
    <n v="28"/>
    <n v="511591702"/>
    <x v="27"/>
    <n v="6939"/>
    <x v="1"/>
    <x v="27"/>
    <s v="luís.werneck"/>
    <x v="27"/>
    <n v="38114990"/>
    <m/>
    <m/>
    <n v="40100"/>
    <m/>
    <s v=""/>
    <n v="243"/>
    <x v="27"/>
    <x v="27"/>
    <n v="1520.2"/>
    <n v="198"/>
    <n v="816.48"/>
    <x v="12"/>
    <x v="4"/>
    <x v="4"/>
    <s v="Efetivo"/>
    <s v="S"/>
    <s v="Diretoria"/>
    <s v="EKB6870-PBN"/>
    <n v="33"/>
    <n v="44"/>
    <m/>
    <n v="97"/>
    <m/>
    <m/>
    <s v="011"/>
  </r>
  <r>
    <n v="29"/>
    <n v="443973441"/>
    <x v="28"/>
    <n v="1998"/>
    <x v="0"/>
    <x v="28"/>
    <s v="cícero.tagliari"/>
    <x v="28"/>
    <n v="28589632"/>
    <m/>
    <m/>
    <n v="39293"/>
    <m/>
    <s v=""/>
    <n v="190"/>
    <x v="28"/>
    <x v="28"/>
    <n v="2256.6"/>
    <n v="176"/>
    <n v="638.4"/>
    <x v="4"/>
    <x v="2"/>
    <x v="0"/>
    <s v="Terceiro"/>
    <s v="N"/>
    <s v="RH"/>
    <s v="SLH6203-TXJ"/>
    <n v="32"/>
    <n v="34"/>
    <m/>
    <n v="85"/>
    <m/>
    <m/>
    <s v="010"/>
  </r>
  <r>
    <n v="30"/>
    <n v="678558573"/>
    <x v="29"/>
    <n v="4059"/>
    <x v="1"/>
    <x v="29"/>
    <s v="gabriela.coutinho"/>
    <x v="29"/>
    <n v="20809521"/>
    <m/>
    <m/>
    <n v="40283"/>
    <m/>
    <d v="2017-09-27T00:00:00"/>
    <n v="189"/>
    <x v="29"/>
    <x v="29"/>
    <n v="2420.8000000000002"/>
    <n v="154"/>
    <n v="635.04"/>
    <x v="10"/>
    <x v="3"/>
    <x v="1"/>
    <s v="Terceiro"/>
    <s v="N"/>
    <s v="RH"/>
    <s v="DEL9470-JFD"/>
    <n v="113"/>
    <n v="18"/>
    <m/>
    <n v="14"/>
    <m/>
    <m/>
    <s v="545"/>
  </r>
  <r>
    <n v="31"/>
    <n v="639216635"/>
    <x v="30"/>
    <n v="2281"/>
    <x v="1"/>
    <x v="30"/>
    <s v="thayná.medronho"/>
    <x v="30"/>
    <n v="47649712"/>
    <m/>
    <m/>
    <n v="39711"/>
    <m/>
    <s v=""/>
    <n v="180"/>
    <x v="30"/>
    <x v="30"/>
    <n v="1912.4"/>
    <n v="264"/>
    <n v="604.80000000000007"/>
    <x v="15"/>
    <x v="2"/>
    <x v="1"/>
    <s v="Terceiro"/>
    <s v="N"/>
    <s v="RH"/>
    <s v="VNG2453-DGA"/>
    <n v="125"/>
    <n v="16"/>
    <m/>
    <n v="195"/>
    <m/>
    <m/>
    <s v="545"/>
  </r>
  <r>
    <n v="32"/>
    <n v="444964987"/>
    <x v="31"/>
    <n v="4931"/>
    <x v="0"/>
    <x v="31"/>
    <s v="marina.pacheco"/>
    <x v="31"/>
    <n v="49055261"/>
    <m/>
    <m/>
    <n v="37311"/>
    <m/>
    <s v=""/>
    <n v="188"/>
    <x v="31"/>
    <x v="31"/>
    <n v="4854.2"/>
    <n v="308"/>
    <n v="631.67999999999995"/>
    <x v="7"/>
    <x v="3"/>
    <x v="2"/>
    <s v="Terceiro"/>
    <s v="N"/>
    <s v="RH"/>
    <s v="JUC7439-HDH"/>
    <n v="23"/>
    <n v="4"/>
    <m/>
    <n v="149"/>
    <m/>
    <m/>
    <s v="213"/>
  </r>
  <r>
    <n v="33"/>
    <n v="638732801"/>
    <x v="32"/>
    <n v="3835"/>
    <x v="0"/>
    <x v="32"/>
    <s v="luana.lopes"/>
    <x v="32"/>
    <n v="46700628"/>
    <m/>
    <m/>
    <n v="42400"/>
    <m/>
    <d v="2018-01-05T00:00:00"/>
    <n v="217"/>
    <x v="32"/>
    <x v="32"/>
    <n v="4043.6000000000004"/>
    <n v="264"/>
    <n v="729.12"/>
    <x v="7"/>
    <x v="3"/>
    <x v="2"/>
    <s v="Terceiro"/>
    <s v="N"/>
    <s v="RH"/>
    <s v="GPT8665-PVU"/>
    <n v="80"/>
    <n v="17"/>
    <m/>
    <n v="68"/>
    <m/>
    <m/>
    <s v="213"/>
  </r>
  <r>
    <n v="34"/>
    <n v="338306501"/>
    <x v="33"/>
    <n v="6053"/>
    <x v="0"/>
    <x v="33"/>
    <s v="vitor.maglhães"/>
    <x v="33"/>
    <n v="32410076"/>
    <m/>
    <m/>
    <n v="41511"/>
    <m/>
    <s v=""/>
    <n v="178"/>
    <x v="33"/>
    <x v="33"/>
    <n v="2730.4"/>
    <n v="220"/>
    <n v="598.07999999999993"/>
    <x v="16"/>
    <x v="4"/>
    <x v="0"/>
    <s v="Efetivo"/>
    <s v="S"/>
    <s v="RH"/>
    <s v="GOS6898-NUN"/>
    <n v="55"/>
    <n v="47"/>
    <m/>
    <n v="113"/>
    <m/>
    <m/>
    <s v="010"/>
  </r>
  <r>
    <n v="35"/>
    <n v="886501538"/>
    <x v="34"/>
    <n v="1949"/>
    <x v="0"/>
    <x v="34"/>
    <s v="carolina.mattos"/>
    <x v="34"/>
    <n v="36029684"/>
    <m/>
    <m/>
    <n v="39047"/>
    <m/>
    <s v=""/>
    <n v="167"/>
    <x v="34"/>
    <x v="34"/>
    <n v="2015.6000000000001"/>
    <n v="198"/>
    <n v="561.12"/>
    <x v="3"/>
    <x v="2"/>
    <x v="2"/>
    <s v="Terceiro"/>
    <s v="N"/>
    <s v="RH"/>
    <s v="STD4596-HEB"/>
    <n v="109"/>
    <n v="46"/>
    <m/>
    <n v="84"/>
    <m/>
    <m/>
    <s v="213"/>
  </r>
  <r>
    <n v="36"/>
    <n v="534850026"/>
    <x v="35"/>
    <n v="5928"/>
    <x v="1"/>
    <x v="35"/>
    <s v="victor.mota"/>
    <x v="35"/>
    <n v="47497691"/>
    <m/>
    <m/>
    <n v="34597"/>
    <m/>
    <s v=""/>
    <n v="238"/>
    <x v="35"/>
    <x v="35"/>
    <n v="3891.2000000000003"/>
    <n v="286"/>
    <n v="799.68"/>
    <x v="17"/>
    <x v="2"/>
    <x v="4"/>
    <s v="Terceiro"/>
    <s v="N"/>
    <s v="RH"/>
    <s v="VVK1309-OJI"/>
    <n v="22"/>
    <n v="49"/>
    <m/>
    <n v="185"/>
    <m/>
    <m/>
    <s v="011"/>
  </r>
  <r>
    <n v="37"/>
    <n v="616461796"/>
    <x v="36"/>
    <n v="4178"/>
    <x v="0"/>
    <x v="36"/>
    <s v="marcos.faria"/>
    <x v="36"/>
    <n v="44716292"/>
    <m/>
    <m/>
    <n v="42702"/>
    <m/>
    <s v=""/>
    <n v="161"/>
    <x v="36"/>
    <x v="36"/>
    <n v="679.6"/>
    <n v="242"/>
    <n v="540.96"/>
    <x v="6"/>
    <x v="2"/>
    <x v="3"/>
    <s v="Terceiro"/>
    <s v="N"/>
    <s v="RH"/>
    <s v="CRA1678-EWX"/>
    <n v="117"/>
    <n v="25"/>
    <m/>
    <n v="120"/>
    <m/>
    <m/>
    <s v="322"/>
  </r>
  <r>
    <n v="38"/>
    <n v="140108816"/>
    <x v="37"/>
    <n v="4063"/>
    <x v="1"/>
    <x v="37"/>
    <s v="marcelo.coelho"/>
    <x v="37"/>
    <n v="24394828"/>
    <m/>
    <m/>
    <n v="41388"/>
    <m/>
    <s v=""/>
    <n v="241"/>
    <x v="37"/>
    <x v="37"/>
    <n v="3495"/>
    <n v="176"/>
    <n v="809.76"/>
    <x v="18"/>
    <x v="1"/>
    <x v="0"/>
    <s v="Efetivo"/>
    <s v="N"/>
    <s v="Gerente"/>
    <s v="WWI4336-TYY"/>
    <n v="36"/>
    <n v="31"/>
    <m/>
    <n v="173"/>
    <m/>
    <m/>
    <s v="010"/>
  </r>
  <r>
    <n v="39"/>
    <n v="498013065"/>
    <x v="38"/>
    <n v="6483"/>
    <x v="1"/>
    <x v="38"/>
    <s v="tomas.guadagnino"/>
    <x v="38"/>
    <n v="38928294"/>
    <m/>
    <m/>
    <n v="38682"/>
    <m/>
    <s v=""/>
    <n v="222"/>
    <x v="38"/>
    <x v="38"/>
    <n v="2893.6000000000004"/>
    <n v="308"/>
    <n v="745.92000000000007"/>
    <x v="19"/>
    <x v="1"/>
    <x v="4"/>
    <s v="Efetivo"/>
    <s v="N"/>
    <s v="Gerente"/>
    <s v="EQK5503-SKS"/>
    <n v="139"/>
    <n v="60"/>
    <m/>
    <n v="39"/>
    <m/>
    <m/>
    <s v="011"/>
  </r>
  <r>
    <n v="40"/>
    <n v="379781785"/>
    <x v="39"/>
    <n v="6958"/>
    <x v="0"/>
    <x v="39"/>
    <s v="giovana.mello"/>
    <x v="39"/>
    <n v="44017250"/>
    <m/>
    <m/>
    <n v="38497"/>
    <m/>
    <d v="2006-12-15T00:00:00"/>
    <n v="185"/>
    <x v="39"/>
    <x v="39"/>
    <n v="1425.8000000000002"/>
    <n v="264"/>
    <n v="621.6"/>
    <x v="20"/>
    <x v="3"/>
    <x v="0"/>
    <s v="Terceiro"/>
    <s v="N"/>
    <s v="RH"/>
    <s v="TNH4387-BVN"/>
    <n v="79"/>
    <n v="36"/>
    <m/>
    <n v="2"/>
    <m/>
    <m/>
    <s v="010"/>
  </r>
  <r>
    <n v="41"/>
    <n v="580043821"/>
    <x v="40"/>
    <n v="6765"/>
    <x v="0"/>
    <x v="40"/>
    <s v="leticia.mota"/>
    <x v="40"/>
    <n v="20731360"/>
    <m/>
    <m/>
    <n v="40881"/>
    <m/>
    <d v="2016-11-02T00:00:00"/>
    <n v="247"/>
    <x v="40"/>
    <x v="40"/>
    <n v="3277.2000000000003"/>
    <n v="198"/>
    <n v="829.92000000000007"/>
    <x v="17"/>
    <x v="2"/>
    <x v="4"/>
    <s v="Terceiro"/>
    <s v="N"/>
    <s v="RH"/>
    <s v="QZB6798-HOP"/>
    <n v="95"/>
    <n v="15"/>
    <m/>
    <n v="63"/>
    <m/>
    <m/>
    <s v="011"/>
  </r>
  <r>
    <n v="42"/>
    <n v="743920592"/>
    <x v="41"/>
    <n v="2469"/>
    <x v="1"/>
    <x v="41"/>
    <s v="beatriz.rodrigues"/>
    <x v="41"/>
    <n v="38162448"/>
    <m/>
    <m/>
    <n v="38380"/>
    <m/>
    <d v="2008-06-27T00:00:00"/>
    <n v="184"/>
    <x v="41"/>
    <x v="41"/>
    <n v="3233.4"/>
    <n v="264"/>
    <n v="618.24"/>
    <x v="3"/>
    <x v="2"/>
    <x v="2"/>
    <s v="Terceiro"/>
    <s v="N"/>
    <s v="RH"/>
    <s v="ZTM5967-ENB"/>
    <n v="104"/>
    <n v="25"/>
    <m/>
    <n v="25"/>
    <m/>
    <m/>
    <s v="213"/>
  </r>
  <r>
    <n v="43"/>
    <n v="233651794"/>
    <x v="42"/>
    <n v="2982"/>
    <x v="0"/>
    <x v="42"/>
    <s v="guilherme.kelly"/>
    <x v="42"/>
    <n v="20491947"/>
    <m/>
    <m/>
    <n v="37904"/>
    <m/>
    <d v="2006-11-24T00:00:00"/>
    <n v="239"/>
    <x v="42"/>
    <x v="42"/>
    <n v="663.80000000000007"/>
    <n v="308"/>
    <n v="803.04"/>
    <x v="8"/>
    <x v="4"/>
    <x v="1"/>
    <s v="Efetivo"/>
    <s v="S"/>
    <s v="Diretoria"/>
    <s v="LTK4563-NCS"/>
    <n v="95"/>
    <n v="0"/>
    <m/>
    <n v="53"/>
    <m/>
    <m/>
    <s v="545"/>
  </r>
  <r>
    <n v="44"/>
    <n v="531613877"/>
    <x v="43"/>
    <n v="2090"/>
    <x v="0"/>
    <x v="43"/>
    <s v="matheus.santos"/>
    <x v="43"/>
    <n v="39852094"/>
    <m/>
    <m/>
    <n v="39957"/>
    <m/>
    <s v=""/>
    <n v="219"/>
    <x v="43"/>
    <x v="43"/>
    <n v="3586"/>
    <n v="308"/>
    <n v="735.84"/>
    <x v="18"/>
    <x v="1"/>
    <x v="0"/>
    <s v="Efetivo"/>
    <s v="N"/>
    <s v="Gerente"/>
    <s v="KUF5904-VWS"/>
    <n v="75"/>
    <n v="56"/>
    <m/>
    <n v="152"/>
    <m/>
    <m/>
    <s v="010"/>
  </r>
  <r>
    <n v="45"/>
    <n v="971638278"/>
    <x v="44"/>
    <n v="5360"/>
    <x v="0"/>
    <x v="44"/>
    <s v="mariana.martins"/>
    <x v="44"/>
    <n v="29254981"/>
    <m/>
    <m/>
    <n v="40657"/>
    <m/>
    <s v=""/>
    <n v="155"/>
    <x v="44"/>
    <x v="44"/>
    <n v="674.80000000000007"/>
    <n v="286"/>
    <n v="520.80000000000007"/>
    <x v="17"/>
    <x v="2"/>
    <x v="4"/>
    <s v="Terceiro"/>
    <s v="N"/>
    <s v="RH"/>
    <s v="FYY9183-YVG"/>
    <n v="100"/>
    <n v="55"/>
    <m/>
    <n v="142"/>
    <m/>
    <m/>
    <s v="011"/>
  </r>
  <r>
    <n v="46"/>
    <n v="403255556"/>
    <x v="45"/>
    <n v="6041"/>
    <x v="0"/>
    <x v="45"/>
    <s v="rafael.rozental"/>
    <x v="45"/>
    <n v="28601966"/>
    <m/>
    <m/>
    <n v="37370"/>
    <m/>
    <s v=""/>
    <n v="187"/>
    <x v="45"/>
    <x v="45"/>
    <n v="4006"/>
    <n v="308"/>
    <n v="628.32000000000005"/>
    <x v="13"/>
    <x v="0"/>
    <x v="2"/>
    <s v="Efetivo"/>
    <s v="S"/>
    <s v="Diretoria"/>
    <s v="PKW5555-EMJ"/>
    <n v="77"/>
    <n v="21"/>
    <m/>
    <n v="81"/>
    <m/>
    <m/>
    <s v="213"/>
  </r>
  <r>
    <n v="47"/>
    <n v="337580360"/>
    <x v="46"/>
    <n v="1707"/>
    <x v="1"/>
    <x v="46"/>
    <s v="rodrigo.lemos"/>
    <x v="46"/>
    <n v="38756804"/>
    <m/>
    <m/>
    <n v="36531"/>
    <m/>
    <s v=""/>
    <n v="232"/>
    <x v="46"/>
    <x v="46"/>
    <n v="1496"/>
    <n v="264"/>
    <n v="779.52"/>
    <x v="20"/>
    <x v="3"/>
    <x v="0"/>
    <s v="Terceiro"/>
    <s v="N"/>
    <s v="RH"/>
    <s v="ZUK7881-WTQ"/>
    <n v="127"/>
    <n v="0"/>
    <m/>
    <n v="156"/>
    <m/>
    <m/>
    <s v="010"/>
  </r>
  <r>
    <n v="48"/>
    <n v="993311564"/>
    <x v="47"/>
    <n v="7520"/>
    <x v="1"/>
    <x v="47"/>
    <s v="marianna.silva"/>
    <x v="47"/>
    <n v="20268909"/>
    <m/>
    <m/>
    <n v="42279"/>
    <m/>
    <s v=""/>
    <n v="247"/>
    <x v="47"/>
    <x v="47"/>
    <n v="789.40000000000009"/>
    <n v="176"/>
    <n v="829.92000000000007"/>
    <x v="9"/>
    <x v="1"/>
    <x v="3"/>
    <s v="Efetivo"/>
    <s v="N"/>
    <s v="Gerente"/>
    <s v="XJE6537-GZR"/>
    <n v="67"/>
    <n v="16"/>
    <m/>
    <n v="160"/>
    <m/>
    <m/>
    <s v="322"/>
  </r>
  <r>
    <n v="49"/>
    <n v="229987650"/>
    <x v="48"/>
    <n v="6444"/>
    <x v="0"/>
    <x v="48"/>
    <s v="roberto.suzano"/>
    <x v="48"/>
    <n v="30671573"/>
    <m/>
    <m/>
    <n v="39635"/>
    <m/>
    <s v=""/>
    <n v="151"/>
    <x v="48"/>
    <x v="48"/>
    <n v="4901.8"/>
    <n v="154"/>
    <n v="507.36"/>
    <x v="5"/>
    <x v="0"/>
    <x v="3"/>
    <s v="Efetivo"/>
    <s v="S"/>
    <s v="Diretoria"/>
    <s v="WFO7622-DVW"/>
    <n v="120"/>
    <n v="50"/>
    <m/>
    <n v="142"/>
    <m/>
    <m/>
    <s v="322"/>
  </r>
  <r>
    <n v="50"/>
    <n v="885637441"/>
    <x v="49"/>
    <n v="4466"/>
    <x v="1"/>
    <x v="49"/>
    <s v="leonardo.gomes"/>
    <x v="49"/>
    <n v="33558620"/>
    <m/>
    <m/>
    <n v="38598"/>
    <m/>
    <d v="2008-03-15T00:00:00"/>
    <n v="153"/>
    <x v="49"/>
    <x v="49"/>
    <n v="2478.8000000000002"/>
    <n v="220"/>
    <n v="514.07999999999993"/>
    <x v="5"/>
    <x v="0"/>
    <x v="3"/>
    <s v="Efetivo"/>
    <s v="S"/>
    <s v="Diretoria"/>
    <s v="CXR9793-VZV"/>
    <n v="34"/>
    <n v="40"/>
    <m/>
    <n v="77"/>
    <m/>
    <m/>
    <s v="322"/>
  </r>
  <r>
    <n v="51"/>
    <n v="173470428"/>
    <x v="50"/>
    <n v="7094"/>
    <x v="1"/>
    <x v="50"/>
    <s v="matheus.sepúlveda"/>
    <x v="50"/>
    <n v="23294683"/>
    <m/>
    <m/>
    <n v="41426"/>
    <m/>
    <s v=""/>
    <n v="238"/>
    <x v="50"/>
    <x v="50"/>
    <n v="2566.4"/>
    <n v="242"/>
    <n v="799.68"/>
    <x v="2"/>
    <x v="1"/>
    <x v="2"/>
    <s v="Efetivo"/>
    <s v="N"/>
    <s v="Gerente"/>
    <s v="JKJ2027-WKV"/>
    <n v="126"/>
    <n v="14"/>
    <m/>
    <n v="44"/>
    <m/>
    <m/>
    <s v="213"/>
  </r>
  <r>
    <n v="52"/>
    <n v="752348160"/>
    <x v="51"/>
    <n v="2065"/>
    <x v="1"/>
    <x v="51"/>
    <s v="jéssica.silva"/>
    <x v="51"/>
    <n v="43564524"/>
    <m/>
    <m/>
    <n v="41948"/>
    <m/>
    <s v=""/>
    <n v="231"/>
    <x v="51"/>
    <x v="51"/>
    <n v="4190.2"/>
    <n v="308"/>
    <n v="776.16"/>
    <x v="10"/>
    <x v="3"/>
    <x v="1"/>
    <s v="Terceiro"/>
    <s v="N"/>
    <s v="RH"/>
    <s v="YOI8978-AAR"/>
    <n v="131"/>
    <n v="13"/>
    <m/>
    <n v="114"/>
    <m/>
    <m/>
    <s v="545"/>
  </r>
  <r>
    <n v="53"/>
    <n v="613476929"/>
    <x v="52"/>
    <n v="5452"/>
    <x v="0"/>
    <x v="52"/>
    <s v="gabriel.rozental"/>
    <x v="52"/>
    <n v="41565611"/>
    <m/>
    <m/>
    <n v="36621"/>
    <m/>
    <d v="2004-05-31T00:00:00"/>
    <n v="196"/>
    <x v="52"/>
    <x v="52"/>
    <n v="374.40000000000003"/>
    <n v="242"/>
    <n v="658.56"/>
    <x v="4"/>
    <x v="2"/>
    <x v="0"/>
    <s v="Terceiro"/>
    <s v="N"/>
    <s v="RH"/>
    <s v="ABL7203-DSP"/>
    <n v="63"/>
    <n v="54"/>
    <m/>
    <n v="25"/>
    <m/>
    <m/>
    <s v="010"/>
  </r>
  <r>
    <n v="54"/>
    <n v="289498961"/>
    <x v="53"/>
    <n v="3944"/>
    <x v="0"/>
    <x v="53"/>
    <s v="patrick.farias"/>
    <x v="53"/>
    <n v="30055064"/>
    <m/>
    <m/>
    <n v="40931"/>
    <m/>
    <s v=""/>
    <n v="196"/>
    <x v="53"/>
    <x v="53"/>
    <n v="4678.2"/>
    <n v="220"/>
    <n v="658.56"/>
    <x v="2"/>
    <x v="1"/>
    <x v="2"/>
    <s v="Efetivo"/>
    <s v="N"/>
    <s v="Gerente"/>
    <s v="MYD2075-XEK"/>
    <n v="149"/>
    <n v="22"/>
    <m/>
    <n v="76"/>
    <m/>
    <m/>
    <s v="213"/>
  </r>
  <r>
    <n v="55"/>
    <n v="471934947"/>
    <x v="54"/>
    <n v="3103"/>
    <x v="1"/>
    <x v="54"/>
    <s v="marcello.freitas"/>
    <x v="54"/>
    <n v="24646714"/>
    <m/>
    <m/>
    <n v="39995"/>
    <m/>
    <d v="2010-02-27T00:00:00"/>
    <n v="221"/>
    <x v="54"/>
    <x v="54"/>
    <n v="772.2"/>
    <n v="198"/>
    <n v="742.56"/>
    <x v="20"/>
    <x v="3"/>
    <x v="0"/>
    <s v="Terceiro"/>
    <s v="N"/>
    <s v="RH"/>
    <s v="FVQ9105-INE"/>
    <n v="34"/>
    <n v="26"/>
    <m/>
    <n v="180"/>
    <m/>
    <m/>
    <s v="010"/>
  </r>
  <r>
    <n v="56"/>
    <n v="441836342"/>
    <x v="55"/>
    <n v="4828"/>
    <x v="1"/>
    <x v="55"/>
    <s v="isabelle.tiradentes"/>
    <x v="55"/>
    <n v="47502117"/>
    <m/>
    <m/>
    <n v="34098"/>
    <m/>
    <s v=""/>
    <n v="166"/>
    <x v="55"/>
    <x v="55"/>
    <n v="3859.4"/>
    <n v="154"/>
    <n v="557.76"/>
    <x v="19"/>
    <x v="1"/>
    <x v="4"/>
    <s v="Efetivo"/>
    <s v="N"/>
    <s v="Gerente"/>
    <s v="NPD6685-WIV"/>
    <n v="114"/>
    <n v="3"/>
    <m/>
    <n v="142"/>
    <m/>
    <m/>
    <s v="011"/>
  </r>
  <r>
    <n v="57"/>
    <n v="587945722"/>
    <x v="56"/>
    <n v="1302"/>
    <x v="0"/>
    <x v="56"/>
    <s v="raissa.carelli"/>
    <x v="56"/>
    <n v="30987596"/>
    <m/>
    <m/>
    <n v="37570"/>
    <m/>
    <s v=""/>
    <n v="197"/>
    <x v="56"/>
    <x v="56"/>
    <n v="4896.4000000000005"/>
    <n v="220"/>
    <n v="661.92000000000007"/>
    <x v="18"/>
    <x v="1"/>
    <x v="0"/>
    <s v="Efetivo"/>
    <s v="N"/>
    <s v="Gerente"/>
    <s v="OBP9618-AYZ"/>
    <n v="86"/>
    <n v="57"/>
    <m/>
    <n v="4"/>
    <m/>
    <m/>
    <s v="010"/>
  </r>
  <r>
    <n v="58"/>
    <n v="672290514"/>
    <x v="57"/>
    <n v="3543"/>
    <x v="0"/>
    <x v="57"/>
    <s v="lorena.marinho"/>
    <x v="57"/>
    <n v="38135763"/>
    <m/>
    <m/>
    <n v="40948"/>
    <m/>
    <s v=""/>
    <n v="226"/>
    <x v="57"/>
    <x v="57"/>
    <n v="1409.8000000000002"/>
    <n v="286"/>
    <n v="759.36"/>
    <x v="15"/>
    <x v="2"/>
    <x v="1"/>
    <s v="Terceiro"/>
    <s v="N"/>
    <s v="RH"/>
    <s v="RZX5393-OKE"/>
    <n v="35"/>
    <n v="17"/>
    <m/>
    <n v="162"/>
    <m/>
    <m/>
    <s v="545"/>
  </r>
  <r>
    <n v="59"/>
    <n v="348351354"/>
    <x v="58"/>
    <n v="6617"/>
    <x v="1"/>
    <x v="58"/>
    <s v="valentina.soares"/>
    <x v="58"/>
    <n v="37063517"/>
    <m/>
    <m/>
    <n v="41725"/>
    <m/>
    <d v="2018-01-05T00:00:00"/>
    <n v="218"/>
    <x v="58"/>
    <x v="58"/>
    <n v="1748.6000000000001"/>
    <n v="198"/>
    <n v="732.48"/>
    <x v="0"/>
    <x v="0"/>
    <x v="0"/>
    <s v="Efetivo"/>
    <s v="S"/>
    <s v="Diretoria"/>
    <s v="NDD1876-ZCV"/>
    <n v="75"/>
    <n v="4"/>
    <m/>
    <n v="45"/>
    <m/>
    <m/>
    <s v="010"/>
  </r>
  <r>
    <n v="60"/>
    <n v="473992858"/>
    <x v="59"/>
    <n v="6356"/>
    <x v="1"/>
    <x v="59"/>
    <s v="fillipe.tupini"/>
    <x v="59"/>
    <n v="47265296"/>
    <m/>
    <m/>
    <n v="40978"/>
    <m/>
    <s v=""/>
    <n v="236"/>
    <x v="59"/>
    <x v="59"/>
    <n v="3875.8"/>
    <n v="286"/>
    <n v="792.96"/>
    <x v="15"/>
    <x v="2"/>
    <x v="1"/>
    <s v="Terceiro"/>
    <s v="N"/>
    <s v="RH"/>
    <s v="YYJ8161-ZZA"/>
    <n v="92"/>
    <n v="18"/>
    <m/>
    <n v="174"/>
    <m/>
    <m/>
    <s v="545"/>
  </r>
  <r>
    <n v="61"/>
    <n v="733055617"/>
    <x v="60"/>
    <n v="6587"/>
    <x v="0"/>
    <x v="60"/>
    <s v="michelle.zerbinato"/>
    <x v="60"/>
    <n v="21433833"/>
    <m/>
    <m/>
    <n v="42070"/>
    <m/>
    <s v=""/>
    <n v="154"/>
    <x v="60"/>
    <x v="60"/>
    <n v="2601.6000000000004"/>
    <n v="308"/>
    <n v="517.44000000000005"/>
    <x v="1"/>
    <x v="1"/>
    <x v="1"/>
    <s v="Efetivo"/>
    <s v="N"/>
    <s v="Gerente"/>
    <s v="DUA4194-ITB"/>
    <n v="143"/>
    <n v="4"/>
    <m/>
    <n v="81"/>
    <m/>
    <m/>
    <s v="545"/>
  </r>
  <r>
    <n v="62"/>
    <n v="821413862"/>
    <x v="61"/>
    <n v="6788"/>
    <x v="0"/>
    <x v="61"/>
    <s v="luiz.migueis"/>
    <x v="61"/>
    <n v="47416246"/>
    <m/>
    <m/>
    <n v="41693"/>
    <m/>
    <s v=""/>
    <n v="161"/>
    <x v="61"/>
    <x v="61"/>
    <n v="3968.6000000000004"/>
    <n v="154"/>
    <n v="540.96"/>
    <x v="11"/>
    <x v="3"/>
    <x v="4"/>
    <s v="Terceiro"/>
    <s v="N"/>
    <s v="RH"/>
    <s v="PHA1382-FMJ"/>
    <n v="95"/>
    <n v="9"/>
    <m/>
    <n v="193"/>
    <m/>
    <m/>
    <s v="011"/>
  </r>
  <r>
    <n v="63"/>
    <n v="226520034"/>
    <x v="62"/>
    <n v="3903"/>
    <x v="1"/>
    <x v="62"/>
    <s v="joão.monteiro"/>
    <x v="62"/>
    <n v="25516035"/>
    <m/>
    <m/>
    <n v="41445"/>
    <m/>
    <s v=""/>
    <n v="246"/>
    <x v="62"/>
    <x v="62"/>
    <n v="2396.6"/>
    <n v="264"/>
    <n v="826.56"/>
    <x v="3"/>
    <x v="2"/>
    <x v="2"/>
    <s v="Terceiro"/>
    <s v="N"/>
    <s v="RH"/>
    <s v="JLS3846-OSF"/>
    <n v="38"/>
    <n v="37"/>
    <m/>
    <n v="174"/>
    <m/>
    <m/>
    <s v="213"/>
  </r>
  <r>
    <n v="64"/>
    <n v="432815331"/>
    <x v="63"/>
    <n v="2633"/>
    <x v="0"/>
    <x v="63"/>
    <s v="douglas.costa"/>
    <x v="63"/>
    <n v="21987179"/>
    <m/>
    <m/>
    <n v="38930"/>
    <m/>
    <s v=""/>
    <n v="176"/>
    <x v="63"/>
    <x v="63"/>
    <n v="3296.8"/>
    <n v="264"/>
    <n v="591.36"/>
    <x v="18"/>
    <x v="1"/>
    <x v="0"/>
    <s v="Efetivo"/>
    <s v="N"/>
    <s v="Gerente"/>
    <s v="NRU8306-DPZ"/>
    <n v="65"/>
    <n v="16"/>
    <m/>
    <n v="21"/>
    <m/>
    <m/>
    <s v="010"/>
  </r>
  <r>
    <n v="65"/>
    <n v="599595958"/>
    <x v="64"/>
    <n v="5546"/>
    <x v="0"/>
    <x v="64"/>
    <s v="joão.ramos"/>
    <x v="64"/>
    <n v="46803076"/>
    <m/>
    <m/>
    <n v="36044"/>
    <m/>
    <s v=""/>
    <n v="150"/>
    <x v="64"/>
    <x v="64"/>
    <n v="2319.2000000000003"/>
    <n v="198"/>
    <n v="504"/>
    <x v="11"/>
    <x v="3"/>
    <x v="4"/>
    <s v="Terceiro"/>
    <s v="N"/>
    <s v="RH"/>
    <s v="KUB6574-VMR"/>
    <n v="135"/>
    <n v="31"/>
    <m/>
    <n v="61"/>
    <m/>
    <m/>
    <s v="011"/>
  </r>
  <r>
    <n v="66"/>
    <n v="531722083"/>
    <x v="65"/>
    <n v="1522"/>
    <x v="1"/>
    <x v="65"/>
    <s v="poline.limp"/>
    <x v="65"/>
    <n v="21139804"/>
    <m/>
    <m/>
    <n v="40956"/>
    <m/>
    <s v=""/>
    <n v="244"/>
    <x v="65"/>
    <x v="65"/>
    <n v="3888.2000000000003"/>
    <n v="242"/>
    <n v="819.84"/>
    <x v="1"/>
    <x v="1"/>
    <x v="1"/>
    <s v="Efetivo"/>
    <s v="N"/>
    <s v="Gerente"/>
    <s v="SGS4567-PFP"/>
    <n v="70"/>
    <n v="21"/>
    <m/>
    <n v="162"/>
    <m/>
    <m/>
    <s v="545"/>
  </r>
  <r>
    <n v="67"/>
    <n v="777593239"/>
    <x v="66"/>
    <n v="1546"/>
    <x v="0"/>
    <x v="66"/>
    <s v="carla.areias"/>
    <x v="66"/>
    <n v="20982322"/>
    <m/>
    <m/>
    <n v="38107"/>
    <m/>
    <s v=""/>
    <n v="247"/>
    <x v="66"/>
    <x v="66"/>
    <n v="2410.8000000000002"/>
    <n v="308"/>
    <n v="829.92000000000007"/>
    <x v="14"/>
    <x v="3"/>
    <x v="3"/>
    <s v="Terceiro"/>
    <s v="N"/>
    <s v="RH"/>
    <s v="MUC8795-XTC"/>
    <n v="65"/>
    <n v="35"/>
    <m/>
    <n v="91"/>
    <m/>
    <m/>
    <s v="322"/>
  </r>
  <r>
    <n v="68"/>
    <n v="373077087"/>
    <x v="67"/>
    <n v="7895"/>
    <x v="1"/>
    <x v="67"/>
    <s v="fernanda.rossini"/>
    <x v="67"/>
    <n v="45583763"/>
    <m/>
    <m/>
    <n v="37442"/>
    <m/>
    <s v=""/>
    <n v="217"/>
    <x v="67"/>
    <x v="67"/>
    <n v="3588.6000000000004"/>
    <n v="264"/>
    <n v="729.12"/>
    <x v="6"/>
    <x v="2"/>
    <x v="3"/>
    <s v="Terceiro"/>
    <s v="N"/>
    <s v="RH"/>
    <s v="PMV6244-DZH"/>
    <n v="102"/>
    <n v="40"/>
    <m/>
    <n v="4"/>
    <m/>
    <m/>
    <s v="322"/>
  </r>
  <r>
    <n v="69"/>
    <n v="630811437"/>
    <x v="68"/>
    <n v="3339"/>
    <x v="1"/>
    <x v="68"/>
    <s v="leandro.neri"/>
    <x v="68"/>
    <n v="44841943"/>
    <m/>
    <m/>
    <n v="36762"/>
    <m/>
    <s v=""/>
    <n v="180"/>
    <x v="68"/>
    <x v="68"/>
    <n v="962.2"/>
    <n v="220"/>
    <n v="604.80000000000007"/>
    <x v="7"/>
    <x v="3"/>
    <x v="2"/>
    <s v="Terceiro"/>
    <s v="N"/>
    <s v="RH"/>
    <s v="RGC2981-TIL"/>
    <n v="80"/>
    <n v="17"/>
    <m/>
    <n v="147"/>
    <m/>
    <m/>
    <s v="213"/>
  </r>
  <r>
    <n v="70"/>
    <n v="594348050"/>
    <x v="69"/>
    <n v="7902"/>
    <x v="1"/>
    <x v="69"/>
    <s v="luiz.chaves"/>
    <x v="69"/>
    <n v="38160945"/>
    <m/>
    <m/>
    <n v="36904"/>
    <m/>
    <s v=""/>
    <n v="174"/>
    <x v="69"/>
    <x v="69"/>
    <n v="678.2"/>
    <n v="176"/>
    <n v="584.64"/>
    <x v="18"/>
    <x v="1"/>
    <x v="0"/>
    <s v="Efetivo"/>
    <s v="N"/>
    <s v="Gerente"/>
    <s v="JEK4790-LVT"/>
    <n v="145"/>
    <n v="32"/>
    <m/>
    <n v="157"/>
    <m/>
    <m/>
    <s v="010"/>
  </r>
  <r>
    <n v="71"/>
    <n v="592360975"/>
    <x v="70"/>
    <n v="5274"/>
    <x v="1"/>
    <x v="70"/>
    <s v="leonardo.castro"/>
    <x v="70"/>
    <n v="49489965"/>
    <m/>
    <m/>
    <n v="42001"/>
    <m/>
    <s v=""/>
    <n v="203"/>
    <x v="70"/>
    <x v="70"/>
    <n v="3210.8"/>
    <n v="176"/>
    <n v="682.07999999999993"/>
    <x v="4"/>
    <x v="2"/>
    <x v="0"/>
    <s v="Terceiro"/>
    <s v="N"/>
    <s v="RH"/>
    <s v="TDB7254-SAT"/>
    <n v="137"/>
    <n v="31"/>
    <m/>
    <n v="107"/>
    <m/>
    <m/>
    <s v="010"/>
  </r>
  <r>
    <n v="72"/>
    <n v="244866609"/>
    <x v="71"/>
    <n v="7302"/>
    <x v="1"/>
    <x v="71"/>
    <s v="lucas.duarte"/>
    <x v="71"/>
    <n v="22231674"/>
    <m/>
    <m/>
    <n v="35168"/>
    <m/>
    <s v=""/>
    <n v="156"/>
    <x v="71"/>
    <x v="71"/>
    <n v="2373.4"/>
    <n v="264"/>
    <n v="524.16"/>
    <x v="15"/>
    <x v="2"/>
    <x v="1"/>
    <s v="Terceiro"/>
    <s v="N"/>
    <s v="RH"/>
    <s v="WWH8576-GLA"/>
    <n v="97"/>
    <n v="56"/>
    <m/>
    <n v="46"/>
    <m/>
    <m/>
    <s v="545"/>
  </r>
  <r>
    <n v="73"/>
    <n v="714553555"/>
    <x v="72"/>
    <n v="5685"/>
    <x v="1"/>
    <x v="72"/>
    <s v="josé.pereira"/>
    <x v="72"/>
    <n v="44392163"/>
    <m/>
    <m/>
    <n v="37083"/>
    <m/>
    <s v=""/>
    <n v="206"/>
    <x v="72"/>
    <x v="72"/>
    <n v="487.8"/>
    <n v="264"/>
    <n v="692.16"/>
    <x v="17"/>
    <x v="2"/>
    <x v="4"/>
    <s v="Terceiro"/>
    <s v="N"/>
    <s v="RH"/>
    <s v="TOR4124-UEA"/>
    <n v="147"/>
    <n v="33"/>
    <m/>
    <n v="190"/>
    <m/>
    <m/>
    <s v="011"/>
  </r>
  <r>
    <n v="74"/>
    <n v="653328735"/>
    <x v="73"/>
    <n v="2885"/>
    <x v="1"/>
    <x v="73"/>
    <s v="átila.melo"/>
    <x v="73"/>
    <n v="33706705"/>
    <m/>
    <m/>
    <n v="40962"/>
    <m/>
    <s v=""/>
    <n v="199"/>
    <x v="73"/>
    <x v="73"/>
    <n v="1766.2"/>
    <n v="264"/>
    <n v="668.64"/>
    <x v="9"/>
    <x v="1"/>
    <x v="3"/>
    <s v="Efetivo"/>
    <s v="N"/>
    <s v="Gerente"/>
    <s v="NST2030-PTV"/>
    <n v="35"/>
    <n v="3"/>
    <m/>
    <n v="12"/>
    <m/>
    <m/>
    <s v="322"/>
  </r>
  <r>
    <n v="75"/>
    <n v="474121843"/>
    <x v="74"/>
    <n v="2035"/>
    <x v="0"/>
    <x v="74"/>
    <s v="nicole.torres"/>
    <x v="74"/>
    <n v="25188908"/>
    <m/>
    <m/>
    <n v="42157"/>
    <m/>
    <d v="2016-09-19T00:00:00"/>
    <n v="205"/>
    <x v="74"/>
    <x v="74"/>
    <n v="1957.4"/>
    <n v="286"/>
    <n v="688.80000000000007"/>
    <x v="4"/>
    <x v="2"/>
    <x v="0"/>
    <s v="Terceiro"/>
    <s v="N"/>
    <s v="RH"/>
    <s v="LEQ5001-ESK"/>
    <n v="131"/>
    <n v="41"/>
    <m/>
    <n v="180"/>
    <m/>
    <m/>
    <s v="010"/>
  </r>
  <r>
    <n v="76"/>
    <n v="427388096"/>
    <x v="75"/>
    <n v="2640"/>
    <x v="0"/>
    <x v="75"/>
    <s v="lucas.jesus"/>
    <x v="75"/>
    <n v="24933118"/>
    <m/>
    <m/>
    <n v="38255"/>
    <m/>
    <s v=""/>
    <n v="182"/>
    <x v="75"/>
    <x v="75"/>
    <n v="3924.2000000000003"/>
    <n v="154"/>
    <n v="611.52"/>
    <x v="3"/>
    <x v="2"/>
    <x v="2"/>
    <s v="Terceiro"/>
    <s v="N"/>
    <s v="RH"/>
    <s v="NJB1928-VMR"/>
    <n v="26"/>
    <n v="57"/>
    <m/>
    <n v="18"/>
    <m/>
    <m/>
    <s v="213"/>
  </r>
  <r>
    <n v="77"/>
    <n v="646616155"/>
    <x v="76"/>
    <n v="7235"/>
    <x v="1"/>
    <x v="76"/>
    <s v="bruno.souza"/>
    <x v="76"/>
    <n v="40178855"/>
    <m/>
    <m/>
    <n v="41334"/>
    <m/>
    <s v=""/>
    <n v="246"/>
    <x v="76"/>
    <x v="76"/>
    <n v="4009.6000000000004"/>
    <n v="154"/>
    <n v="826.56"/>
    <x v="3"/>
    <x v="2"/>
    <x v="2"/>
    <s v="Terceiro"/>
    <s v="N"/>
    <s v="RH"/>
    <s v="BLJ4436-ZDQ"/>
    <n v="59"/>
    <n v="19"/>
    <m/>
    <n v="9"/>
    <m/>
    <m/>
    <s v="213"/>
  </r>
  <r>
    <n v="78"/>
    <n v="975329320"/>
    <x v="77"/>
    <n v="2323"/>
    <x v="1"/>
    <x v="77"/>
    <s v="gabriel.cerqueira"/>
    <x v="77"/>
    <n v="24631016"/>
    <m/>
    <m/>
    <n v="41777"/>
    <m/>
    <s v=""/>
    <n v="153"/>
    <x v="77"/>
    <x v="77"/>
    <n v="3817.2000000000003"/>
    <n v="264"/>
    <n v="514.07999999999993"/>
    <x v="17"/>
    <x v="2"/>
    <x v="4"/>
    <s v="Terceiro"/>
    <s v="N"/>
    <s v="RH"/>
    <s v="WMJ8165-DVQ"/>
    <n v="32"/>
    <n v="8"/>
    <m/>
    <n v="12"/>
    <m/>
    <m/>
    <s v="011"/>
  </r>
  <r>
    <n v="79"/>
    <n v="252474906"/>
    <x v="78"/>
    <n v="1758"/>
    <x v="1"/>
    <x v="78"/>
    <s v="larissa.beltrao"/>
    <x v="78"/>
    <n v="38047673"/>
    <m/>
    <m/>
    <n v="41818"/>
    <m/>
    <s v=""/>
    <n v="205"/>
    <x v="78"/>
    <x v="78"/>
    <n v="3441.4"/>
    <n v="198"/>
    <n v="688.80000000000007"/>
    <x v="0"/>
    <x v="0"/>
    <x v="0"/>
    <s v="Efetivo"/>
    <s v="S"/>
    <s v="Diretoria"/>
    <s v="ZXA6905-CRS"/>
    <n v="33"/>
    <n v="5"/>
    <m/>
    <n v="90"/>
    <m/>
    <m/>
    <s v="010"/>
  </r>
  <r>
    <n v="80"/>
    <n v="856357431"/>
    <x v="79"/>
    <n v="7584"/>
    <x v="1"/>
    <x v="79"/>
    <s v="frederico.vidal"/>
    <x v="79"/>
    <n v="39486682"/>
    <m/>
    <m/>
    <n v="40327"/>
    <m/>
    <s v=""/>
    <n v="154"/>
    <x v="79"/>
    <x v="79"/>
    <n v="1566.6000000000001"/>
    <n v="220"/>
    <n v="517.44000000000005"/>
    <x v="17"/>
    <x v="2"/>
    <x v="4"/>
    <s v="Terceiro"/>
    <s v="N"/>
    <s v="RH"/>
    <s v="IOJ6041-JEL"/>
    <n v="38"/>
    <n v="45"/>
    <m/>
    <n v="86"/>
    <m/>
    <m/>
    <s v="011"/>
  </r>
  <r>
    <n v="81"/>
    <n v="778875609"/>
    <x v="80"/>
    <n v="3259"/>
    <x v="0"/>
    <x v="80"/>
    <s v="giuseppe.fernandes"/>
    <x v="80"/>
    <n v="27566227"/>
    <m/>
    <m/>
    <n v="40220"/>
    <m/>
    <s v=""/>
    <n v="228"/>
    <x v="80"/>
    <x v="80"/>
    <n v="2475.4"/>
    <n v="308"/>
    <n v="766.07999999999993"/>
    <x v="10"/>
    <x v="3"/>
    <x v="1"/>
    <s v="Terceiro"/>
    <s v="N"/>
    <s v="RH"/>
    <s v="PXQ3031-CLK"/>
    <n v="55"/>
    <n v="5"/>
    <m/>
    <n v="60"/>
    <m/>
    <m/>
    <s v="545"/>
  </r>
  <r>
    <n v="82"/>
    <n v="325916532"/>
    <x v="81"/>
    <n v="1463"/>
    <x v="0"/>
    <x v="81"/>
    <s v="rafael.santos"/>
    <x v="41"/>
    <n v="43050334"/>
    <m/>
    <m/>
    <n v="38380"/>
    <m/>
    <d v="2010-04-15T00:00:00"/>
    <n v="156"/>
    <x v="81"/>
    <x v="81"/>
    <n v="1335.4"/>
    <n v="264"/>
    <n v="524.16"/>
    <x v="14"/>
    <x v="3"/>
    <x v="3"/>
    <s v="Terceiro"/>
    <s v="N"/>
    <s v="RH"/>
    <s v="LTM9276-UTH"/>
    <n v="121"/>
    <n v="47"/>
    <m/>
    <n v="148"/>
    <m/>
    <m/>
    <s v="322"/>
  </r>
  <r>
    <n v="83"/>
    <n v="609252585"/>
    <x v="82"/>
    <n v="5233"/>
    <x v="1"/>
    <x v="82"/>
    <s v="larissa.lima"/>
    <x v="81"/>
    <n v="46032692"/>
    <m/>
    <m/>
    <n v="39330"/>
    <m/>
    <s v=""/>
    <n v="198"/>
    <x v="82"/>
    <x v="82"/>
    <n v="1341.6000000000001"/>
    <n v="198"/>
    <n v="665.28000000000009"/>
    <x v="2"/>
    <x v="1"/>
    <x v="2"/>
    <s v="Efetivo"/>
    <s v="N"/>
    <s v="Gerente"/>
    <s v="OGF6863-XQK"/>
    <n v="146"/>
    <n v="21"/>
    <m/>
    <n v="59"/>
    <m/>
    <m/>
    <s v="213"/>
  </r>
  <r>
    <n v="84"/>
    <n v="237793259"/>
    <x v="83"/>
    <n v="7677"/>
    <x v="1"/>
    <x v="83"/>
    <s v="fernanda.ceppas"/>
    <x v="82"/>
    <n v="42283072"/>
    <m/>
    <m/>
    <n v="39807"/>
    <m/>
    <s v=""/>
    <n v="175"/>
    <x v="83"/>
    <x v="83"/>
    <n v="1865.2"/>
    <n v="220"/>
    <n v="588"/>
    <x v="15"/>
    <x v="2"/>
    <x v="1"/>
    <s v="Terceiro"/>
    <s v="N"/>
    <s v="RH"/>
    <s v="III5029-LMU"/>
    <n v="89"/>
    <n v="50"/>
    <m/>
    <n v="123"/>
    <m/>
    <m/>
    <s v="545"/>
  </r>
  <r>
    <n v="85"/>
    <n v="588172925"/>
    <x v="84"/>
    <n v="2631"/>
    <x v="0"/>
    <x v="84"/>
    <s v="rodrigo.vianna"/>
    <x v="83"/>
    <n v="25378805"/>
    <m/>
    <m/>
    <n v="37181"/>
    <m/>
    <s v=""/>
    <n v="243"/>
    <x v="84"/>
    <x v="84"/>
    <n v="4075.4"/>
    <n v="286"/>
    <n v="816.48"/>
    <x v="18"/>
    <x v="1"/>
    <x v="0"/>
    <s v="Efetivo"/>
    <s v="N"/>
    <s v="Gerente"/>
    <s v="DTB8469-QRT"/>
    <n v="37"/>
    <n v="38"/>
    <m/>
    <n v="74"/>
    <m/>
    <m/>
    <s v="010"/>
  </r>
  <r>
    <n v="86"/>
    <n v="973208232"/>
    <x v="85"/>
    <n v="4743"/>
    <x v="0"/>
    <x v="85"/>
    <s v="felipe.teixeira"/>
    <x v="84"/>
    <n v="39894941"/>
    <m/>
    <m/>
    <n v="38851"/>
    <m/>
    <s v=""/>
    <n v="205"/>
    <x v="85"/>
    <x v="85"/>
    <n v="1812.4"/>
    <n v="308"/>
    <n v="688.80000000000007"/>
    <x v="2"/>
    <x v="1"/>
    <x v="2"/>
    <s v="Efetivo"/>
    <s v="N"/>
    <s v="Gerente"/>
    <s v="ACH6405-MLG"/>
    <n v="40"/>
    <n v="9"/>
    <m/>
    <n v="67"/>
    <m/>
    <m/>
    <s v="213"/>
  </r>
  <r>
    <n v="87"/>
    <n v="964370969"/>
    <x v="86"/>
    <n v="1745"/>
    <x v="1"/>
    <x v="86"/>
    <s v="luiz.souza"/>
    <x v="85"/>
    <n v="29604908"/>
    <m/>
    <m/>
    <n v="38167"/>
    <m/>
    <d v="2012-08-12T00:00:00"/>
    <n v="151"/>
    <x v="86"/>
    <x v="86"/>
    <n v="2322.6"/>
    <n v="264"/>
    <n v="507.36"/>
    <x v="7"/>
    <x v="3"/>
    <x v="2"/>
    <s v="Terceiro"/>
    <s v="N"/>
    <s v="RH"/>
    <s v="APV6099-AHQ"/>
    <n v="111"/>
    <n v="38"/>
    <m/>
    <n v="73"/>
    <m/>
    <m/>
    <s v="213"/>
  </r>
  <r>
    <n v="88"/>
    <n v="876700065"/>
    <x v="87"/>
    <n v="4473"/>
    <x v="1"/>
    <x v="87"/>
    <s v="aline.souza"/>
    <x v="86"/>
    <n v="45181737"/>
    <m/>
    <m/>
    <n v="40631"/>
    <m/>
    <s v=""/>
    <n v="154"/>
    <x v="87"/>
    <x v="87"/>
    <n v="836.40000000000009"/>
    <n v="286"/>
    <n v="517.44000000000005"/>
    <x v="21"/>
    <x v="4"/>
    <x v="2"/>
    <s v="Efetivo"/>
    <s v="S"/>
    <s v="RH"/>
    <s v="KAT9516-NRF"/>
    <n v="117"/>
    <n v="37"/>
    <m/>
    <n v="93"/>
    <m/>
    <m/>
    <s v="213"/>
  </r>
  <r>
    <n v="89"/>
    <n v="233923051"/>
    <x v="88"/>
    <n v="7936"/>
    <x v="0"/>
    <x v="88"/>
    <s v="roberto.leite"/>
    <x v="87"/>
    <n v="27207970"/>
    <m/>
    <m/>
    <n v="43020"/>
    <m/>
    <d v="2018-01-05T00:00:00"/>
    <n v="150"/>
    <x v="88"/>
    <x v="88"/>
    <n v="3688.4"/>
    <n v="242"/>
    <n v="504"/>
    <x v="11"/>
    <x v="3"/>
    <x v="4"/>
    <s v="Terceiro"/>
    <s v="N"/>
    <s v="RH"/>
    <s v="JCA2930-OQA"/>
    <n v="23"/>
    <n v="5"/>
    <m/>
    <n v="19"/>
    <m/>
    <m/>
    <s v="011"/>
  </r>
  <r>
    <n v="90"/>
    <n v="887626776"/>
    <x v="89"/>
    <n v="1952"/>
    <x v="1"/>
    <x v="89"/>
    <s v="bruna.vasconcelos"/>
    <x v="88"/>
    <n v="20922600"/>
    <m/>
    <m/>
    <n v="42973"/>
    <m/>
    <s v=""/>
    <n v="176"/>
    <x v="89"/>
    <x v="89"/>
    <n v="2420.2000000000003"/>
    <n v="176"/>
    <n v="591.36"/>
    <x v="2"/>
    <x v="1"/>
    <x v="2"/>
    <s v="Efetivo"/>
    <s v="N"/>
    <s v="Gerente"/>
    <s v="WLJ3935-FTH"/>
    <n v="37"/>
    <n v="39"/>
    <m/>
    <n v="103"/>
    <m/>
    <m/>
    <s v="213"/>
  </r>
  <r>
    <n v="91"/>
    <n v="933126418"/>
    <x v="90"/>
    <n v="7759"/>
    <x v="1"/>
    <x v="90"/>
    <s v="luana.stockler"/>
    <x v="89"/>
    <n v="48130849"/>
    <m/>
    <m/>
    <n v="39281"/>
    <m/>
    <s v=""/>
    <n v="247"/>
    <x v="90"/>
    <x v="90"/>
    <n v="449.40000000000003"/>
    <n v="264"/>
    <n v="829.92000000000007"/>
    <x v="11"/>
    <x v="3"/>
    <x v="4"/>
    <s v="Terceiro"/>
    <s v="N"/>
    <s v="RH"/>
    <s v="FCS8459-KGM"/>
    <n v="87"/>
    <n v="10"/>
    <m/>
    <n v="69"/>
    <m/>
    <m/>
    <s v="011"/>
  </r>
  <r>
    <n v="92"/>
    <n v="633403160"/>
    <x v="91"/>
    <n v="5359"/>
    <x v="1"/>
    <x v="91"/>
    <s v="alberto.carvalho"/>
    <x v="90"/>
    <n v="40694508"/>
    <m/>
    <m/>
    <n v="39373"/>
    <m/>
    <s v=""/>
    <n v="229"/>
    <x v="91"/>
    <x v="91"/>
    <n v="3086.6000000000004"/>
    <n v="308"/>
    <n v="769.44"/>
    <x v="18"/>
    <x v="1"/>
    <x v="0"/>
    <s v="Efetivo"/>
    <s v="N"/>
    <s v="Gerente"/>
    <s v="PWO4177-IJL"/>
    <n v="43"/>
    <n v="13"/>
    <m/>
    <n v="121"/>
    <m/>
    <m/>
    <s v="010"/>
  </r>
  <r>
    <n v="93"/>
    <n v="593399215"/>
    <x v="92"/>
    <n v="6490"/>
    <x v="1"/>
    <x v="92"/>
    <s v="rafael.hollander"/>
    <x v="91"/>
    <n v="26900299"/>
    <m/>
    <m/>
    <n v="42601"/>
    <m/>
    <s v=""/>
    <n v="225"/>
    <x v="92"/>
    <x v="92"/>
    <n v="986.6"/>
    <n v="198"/>
    <n v="756"/>
    <x v="6"/>
    <x v="2"/>
    <x v="3"/>
    <s v="Terceiro"/>
    <s v="N"/>
    <s v="RH"/>
    <s v="RMY9279-EYU"/>
    <n v="37"/>
    <n v="45"/>
    <m/>
    <n v="171"/>
    <m/>
    <m/>
    <s v="322"/>
  </r>
  <r>
    <n v="94"/>
    <n v="526758863"/>
    <x v="93"/>
    <n v="3060"/>
    <x v="0"/>
    <x v="93"/>
    <s v="marina.sousa"/>
    <x v="92"/>
    <n v="27386367"/>
    <m/>
    <m/>
    <n v="38200"/>
    <m/>
    <s v=""/>
    <n v="229"/>
    <x v="93"/>
    <x v="93"/>
    <n v="4758.4000000000005"/>
    <n v="220"/>
    <n v="769.44"/>
    <x v="20"/>
    <x v="3"/>
    <x v="0"/>
    <s v="Terceiro"/>
    <s v="N"/>
    <s v="RH"/>
    <s v="RHP4277-IYP"/>
    <n v="115"/>
    <n v="35"/>
    <m/>
    <n v="145"/>
    <m/>
    <m/>
    <s v="010"/>
  </r>
  <r>
    <n v="95"/>
    <n v="343497029"/>
    <x v="94"/>
    <n v="5623"/>
    <x v="0"/>
    <x v="94"/>
    <s v="amanda.ferreira"/>
    <x v="93"/>
    <n v="49319901"/>
    <m/>
    <m/>
    <n v="42909"/>
    <m/>
    <d v="2018-01-05T00:00:00"/>
    <n v="181"/>
    <x v="94"/>
    <x v="94"/>
    <n v="2589.2000000000003"/>
    <n v="286"/>
    <n v="608.16"/>
    <x v="20"/>
    <x v="3"/>
    <x v="0"/>
    <s v="Terceiro"/>
    <s v="N"/>
    <s v="RH"/>
    <s v="EZB7956-PRV"/>
    <n v="94"/>
    <n v="16"/>
    <m/>
    <n v="124"/>
    <m/>
    <m/>
    <s v="010"/>
  </r>
  <r>
    <n v="96"/>
    <n v="927070739"/>
    <x v="95"/>
    <n v="7131"/>
    <x v="0"/>
    <x v="95"/>
    <s v="daniel.thuler"/>
    <x v="94"/>
    <n v="43476160"/>
    <m/>
    <m/>
    <n v="38059"/>
    <m/>
    <d v="2005-03-05T00:00:00"/>
    <n v="204"/>
    <x v="95"/>
    <x v="95"/>
    <n v="590.4"/>
    <n v="286"/>
    <n v="685.44"/>
    <x v="4"/>
    <x v="2"/>
    <x v="0"/>
    <s v="Terceiro"/>
    <s v="N"/>
    <s v="RH"/>
    <s v="VSF2348-RTV"/>
    <n v="55"/>
    <n v="12"/>
    <m/>
    <n v="113"/>
    <m/>
    <m/>
    <s v="010"/>
  </r>
  <r>
    <n v="97"/>
    <n v="602013614"/>
    <x v="96"/>
    <n v="4257"/>
    <x v="0"/>
    <x v="96"/>
    <s v="joão.fagundes"/>
    <x v="95"/>
    <n v="22471851"/>
    <m/>
    <m/>
    <n v="42154"/>
    <m/>
    <s v=""/>
    <n v="185"/>
    <x v="96"/>
    <x v="96"/>
    <n v="4477.2"/>
    <n v="264"/>
    <n v="621.6"/>
    <x v="18"/>
    <x v="1"/>
    <x v="0"/>
    <s v="Efetivo"/>
    <s v="N"/>
    <s v="Gerente"/>
    <s v="DTO3596-PFP"/>
    <n v="20"/>
    <n v="4"/>
    <m/>
    <n v="54"/>
    <m/>
    <m/>
    <s v="010"/>
  </r>
  <r>
    <n v="98"/>
    <n v="117694466"/>
    <x v="97"/>
    <n v="1888"/>
    <x v="0"/>
    <x v="97"/>
    <s v="brenda.lopes"/>
    <x v="96"/>
    <n v="43530569"/>
    <m/>
    <m/>
    <n v="40540"/>
    <m/>
    <s v=""/>
    <n v="155"/>
    <x v="97"/>
    <x v="97"/>
    <n v="1005.2"/>
    <n v="242"/>
    <n v="520.80000000000007"/>
    <x v="12"/>
    <x v="4"/>
    <x v="4"/>
    <s v="Efetivo"/>
    <s v="S"/>
    <s v="Diretoria"/>
    <s v="BSP8251-DKQ"/>
    <n v="124"/>
    <n v="39"/>
    <m/>
    <n v="195"/>
    <m/>
    <m/>
    <s v="011"/>
  </r>
  <r>
    <n v="99"/>
    <n v="509679525"/>
    <x v="98"/>
    <n v="4719"/>
    <x v="0"/>
    <x v="98"/>
    <s v="rafael.santos"/>
    <x v="97"/>
    <n v="31298290"/>
    <m/>
    <m/>
    <n v="40859"/>
    <m/>
    <s v=""/>
    <n v="206"/>
    <x v="98"/>
    <x v="98"/>
    <n v="3752.6000000000004"/>
    <n v="154"/>
    <n v="692.16"/>
    <x v="7"/>
    <x v="3"/>
    <x v="2"/>
    <s v="Terceiro"/>
    <s v="N"/>
    <s v="RH"/>
    <s v="WZS2359-MIK"/>
    <n v="74"/>
    <n v="25"/>
    <m/>
    <n v="23"/>
    <m/>
    <m/>
    <s v="213"/>
  </r>
  <r>
    <n v="100"/>
    <n v="865518735"/>
    <x v="99"/>
    <n v="2245"/>
    <x v="1"/>
    <x v="99"/>
    <s v="juliana.filho"/>
    <x v="98"/>
    <n v="25475749"/>
    <m/>
    <m/>
    <n v="38315"/>
    <m/>
    <s v=""/>
    <n v="177"/>
    <x v="99"/>
    <x v="99"/>
    <n v="392.20000000000005"/>
    <n v="286"/>
    <n v="594.71999999999991"/>
    <x v="20"/>
    <x v="3"/>
    <x v="0"/>
    <s v="Terceiro"/>
    <s v="N"/>
    <s v="RH"/>
    <s v="CBV8647-LZO"/>
    <n v="22"/>
    <n v="23"/>
    <m/>
    <n v="98"/>
    <m/>
    <m/>
    <s v="010"/>
  </r>
  <r>
    <n v="101"/>
    <n v="694331072"/>
    <x v="100"/>
    <n v="5102"/>
    <x v="0"/>
    <x v="100"/>
    <s v="victoria.viríssimo"/>
    <x v="99"/>
    <n v="27741357"/>
    <m/>
    <m/>
    <n v="35434"/>
    <m/>
    <s v=""/>
    <n v="179"/>
    <x v="100"/>
    <x v="100"/>
    <n v="4329.4000000000005"/>
    <n v="308"/>
    <n v="601.44000000000005"/>
    <x v="15"/>
    <x v="2"/>
    <x v="1"/>
    <s v="Terceiro"/>
    <s v="N"/>
    <s v="RH"/>
    <s v="UTD4893-XXU"/>
    <n v="54"/>
    <n v="32"/>
    <m/>
    <n v="164"/>
    <m/>
    <m/>
    <s v="545"/>
  </r>
  <r>
    <n v="102"/>
    <n v="286981266"/>
    <x v="101"/>
    <n v="1404"/>
    <x v="0"/>
    <x v="101"/>
    <s v="adriano.souza"/>
    <x v="100"/>
    <n v="35984704"/>
    <m/>
    <m/>
    <n v="40882"/>
    <m/>
    <s v=""/>
    <n v="151"/>
    <x v="101"/>
    <x v="101"/>
    <n v="475.6"/>
    <n v="220"/>
    <n v="507.36"/>
    <x v="19"/>
    <x v="1"/>
    <x v="4"/>
    <s v="Efetivo"/>
    <s v="N"/>
    <s v="Gerente"/>
    <s v="CMW7923-SYL"/>
    <n v="136"/>
    <n v="59"/>
    <m/>
    <n v="158"/>
    <m/>
    <m/>
    <s v="011"/>
  </r>
  <r>
    <n v="103"/>
    <n v="686523389"/>
    <x v="102"/>
    <n v="6395"/>
    <x v="0"/>
    <x v="102"/>
    <s v="rodrigo.barreto"/>
    <x v="101"/>
    <n v="37900471"/>
    <m/>
    <m/>
    <n v="38168"/>
    <m/>
    <s v=""/>
    <n v="168"/>
    <x v="102"/>
    <x v="102"/>
    <n v="1159.8"/>
    <n v="286"/>
    <n v="564.48"/>
    <x v="12"/>
    <x v="4"/>
    <x v="4"/>
    <s v="Efetivo"/>
    <s v="S"/>
    <s v="Diretoria"/>
    <s v="SEH9740-ENV"/>
    <n v="50"/>
    <n v="27"/>
    <m/>
    <n v="171"/>
    <m/>
    <m/>
    <s v="011"/>
  </r>
  <r>
    <n v="104"/>
    <n v="150580874"/>
    <x v="103"/>
    <n v="6069"/>
    <x v="1"/>
    <x v="103"/>
    <s v="vinícius.maluf"/>
    <x v="102"/>
    <n v="41629679"/>
    <m/>
    <m/>
    <n v="39246"/>
    <m/>
    <d v="2013-03-15T00:00:00"/>
    <n v="210"/>
    <x v="103"/>
    <x v="103"/>
    <n v="4332"/>
    <n v="154"/>
    <n v="705.6"/>
    <x v="19"/>
    <x v="1"/>
    <x v="4"/>
    <s v="Efetivo"/>
    <s v="N"/>
    <s v="Gerente"/>
    <s v="FJB5293-ACY"/>
    <n v="120"/>
    <n v="33"/>
    <m/>
    <n v="26"/>
    <m/>
    <m/>
    <s v="011"/>
  </r>
  <r>
    <n v="105"/>
    <n v="415507616"/>
    <x v="104"/>
    <n v="7903"/>
    <x v="1"/>
    <x v="104"/>
    <s v="roberta.vaz"/>
    <x v="103"/>
    <n v="28302092"/>
    <m/>
    <m/>
    <n v="40280"/>
    <m/>
    <s v=""/>
    <n v="208"/>
    <x v="104"/>
    <x v="104"/>
    <n v="4263"/>
    <n v="286"/>
    <n v="698.88"/>
    <x v="19"/>
    <x v="1"/>
    <x v="4"/>
    <s v="Efetivo"/>
    <s v="N"/>
    <s v="Gerente"/>
    <s v="ZFI1637-CCQ"/>
    <n v="45"/>
    <n v="17"/>
    <m/>
    <n v="161"/>
    <m/>
    <m/>
    <s v="011"/>
  </r>
  <r>
    <n v="106"/>
    <n v="340805214"/>
    <x v="105"/>
    <n v="4523"/>
    <x v="0"/>
    <x v="105"/>
    <s v="josé.cardeman"/>
    <x v="104"/>
    <n v="29389562"/>
    <m/>
    <m/>
    <n v="42337"/>
    <m/>
    <d v="2018-01-05T00:00:00"/>
    <n v="245"/>
    <x v="105"/>
    <x v="105"/>
    <n v="925.2"/>
    <n v="242"/>
    <n v="823.19999999999993"/>
    <x v="14"/>
    <x v="3"/>
    <x v="3"/>
    <s v="Terceiro"/>
    <s v="N"/>
    <s v="RH"/>
    <s v="FOR5614-QHB"/>
    <n v="132"/>
    <n v="22"/>
    <m/>
    <n v="175"/>
    <m/>
    <m/>
    <s v="322"/>
  </r>
  <r>
    <n v="107"/>
    <n v="394640733"/>
    <x v="106"/>
    <n v="5602"/>
    <x v="1"/>
    <x v="106"/>
    <s v="matheus.borges"/>
    <x v="105"/>
    <n v="31761244"/>
    <m/>
    <m/>
    <n v="37451"/>
    <m/>
    <d v="2010-05-05T00:00:00"/>
    <n v="183"/>
    <x v="106"/>
    <x v="106"/>
    <n v="2840"/>
    <n v="308"/>
    <n v="614.88"/>
    <x v="15"/>
    <x v="2"/>
    <x v="1"/>
    <s v="Terceiro"/>
    <s v="N"/>
    <s v="RH"/>
    <s v="EHE6645-ZFG"/>
    <n v="40"/>
    <n v="12"/>
    <m/>
    <n v="126"/>
    <m/>
    <m/>
    <s v="545"/>
  </r>
  <r>
    <n v="108"/>
    <n v="958591003"/>
    <x v="107"/>
    <n v="7044"/>
    <x v="0"/>
    <x v="107"/>
    <s v="guilherme.silva"/>
    <x v="106"/>
    <n v="28872553"/>
    <m/>
    <m/>
    <n v="42689"/>
    <m/>
    <d v="2017-09-30T00:00:00"/>
    <n v="194"/>
    <x v="107"/>
    <x v="107"/>
    <n v="4664.6000000000004"/>
    <n v="220"/>
    <n v="651.84"/>
    <x v="13"/>
    <x v="0"/>
    <x v="2"/>
    <s v="Efetivo"/>
    <s v="S"/>
    <s v="Diretoria"/>
    <s v="NNU2293-RHK"/>
    <n v="135"/>
    <n v="3"/>
    <m/>
    <n v="164"/>
    <m/>
    <m/>
    <s v="213"/>
  </r>
  <r>
    <n v="109"/>
    <n v="177480700"/>
    <x v="108"/>
    <n v="4879"/>
    <x v="0"/>
    <x v="108"/>
    <s v="bruna.calmon"/>
    <x v="107"/>
    <n v="20894454"/>
    <m/>
    <m/>
    <n v="33468"/>
    <m/>
    <s v=""/>
    <n v="186"/>
    <x v="108"/>
    <x v="108"/>
    <n v="3015.2000000000003"/>
    <n v="242"/>
    <n v="624.96"/>
    <x v="8"/>
    <x v="4"/>
    <x v="1"/>
    <s v="Efetivo"/>
    <s v="S"/>
    <s v="Diretoria"/>
    <s v="JEW9356-YGT"/>
    <n v="146"/>
    <n v="0"/>
    <m/>
    <n v="41"/>
    <m/>
    <m/>
    <s v="545"/>
  </r>
  <r>
    <n v="110"/>
    <n v="137913886"/>
    <x v="109"/>
    <n v="7747"/>
    <x v="1"/>
    <x v="109"/>
    <s v="higor.frossard"/>
    <x v="108"/>
    <n v="27881248"/>
    <m/>
    <m/>
    <n v="42572"/>
    <m/>
    <s v=""/>
    <n v="240"/>
    <x v="109"/>
    <x v="109"/>
    <n v="1111.2"/>
    <n v="264"/>
    <n v="806.4"/>
    <x v="18"/>
    <x v="1"/>
    <x v="0"/>
    <s v="Efetivo"/>
    <s v="N"/>
    <s v="Gerente"/>
    <s v="BVR6040-PKW"/>
    <n v="148"/>
    <n v="9"/>
    <m/>
    <n v="79"/>
    <m/>
    <m/>
    <s v="010"/>
  </r>
  <r>
    <n v="111"/>
    <n v="846553752"/>
    <x v="110"/>
    <n v="2775"/>
    <x v="1"/>
    <x v="110"/>
    <s v="daniela.silva"/>
    <x v="109"/>
    <n v="32762432"/>
    <m/>
    <m/>
    <n v="39878"/>
    <m/>
    <s v=""/>
    <n v="165"/>
    <x v="110"/>
    <x v="110"/>
    <n v="1873.4"/>
    <n v="198"/>
    <n v="554.4"/>
    <x v="18"/>
    <x v="1"/>
    <x v="0"/>
    <s v="Efetivo"/>
    <s v="N"/>
    <s v="Gerente"/>
    <s v="YCM5362-KVL"/>
    <n v="115"/>
    <n v="57"/>
    <m/>
    <n v="0"/>
    <m/>
    <m/>
    <s v="010"/>
  </r>
  <r>
    <n v="112"/>
    <n v="177736483"/>
    <x v="111"/>
    <n v="4494"/>
    <x v="1"/>
    <x v="111"/>
    <s v="matheus.sone"/>
    <x v="110"/>
    <n v="23232489"/>
    <m/>
    <m/>
    <n v="37707"/>
    <m/>
    <s v=""/>
    <n v="198"/>
    <x v="111"/>
    <x v="111"/>
    <n v="3478.6000000000004"/>
    <n v="264"/>
    <n v="665.28000000000009"/>
    <x v="20"/>
    <x v="3"/>
    <x v="0"/>
    <s v="Terceiro"/>
    <s v="N"/>
    <s v="RH"/>
    <s v="AVF3939-FZZ"/>
    <n v="80"/>
    <n v="42"/>
    <m/>
    <n v="97"/>
    <m/>
    <m/>
    <s v="010"/>
  </r>
  <r>
    <n v="113"/>
    <n v="734906034"/>
    <x v="112"/>
    <n v="4619"/>
    <x v="0"/>
    <x v="112"/>
    <s v="aline.silva"/>
    <x v="111"/>
    <n v="31908304"/>
    <m/>
    <m/>
    <n v="42050"/>
    <m/>
    <s v=""/>
    <n v="205"/>
    <x v="112"/>
    <x v="112"/>
    <n v="4577.4000000000005"/>
    <n v="242"/>
    <n v="688.80000000000007"/>
    <x v="17"/>
    <x v="2"/>
    <x v="4"/>
    <s v="Terceiro"/>
    <s v="N"/>
    <s v="RH"/>
    <s v="TBN9839-DTP"/>
    <n v="53"/>
    <n v="23"/>
    <m/>
    <n v="64"/>
    <m/>
    <m/>
    <s v="011"/>
  </r>
  <r>
    <n v="114"/>
    <n v="930055566"/>
    <x v="113"/>
    <n v="5147"/>
    <x v="1"/>
    <x v="113"/>
    <s v="natalia.indelicato"/>
    <x v="112"/>
    <n v="41397449"/>
    <m/>
    <m/>
    <n v="38183"/>
    <m/>
    <d v="2012-06-07T00:00:00"/>
    <n v="174"/>
    <x v="113"/>
    <x v="113"/>
    <n v="4028.2000000000003"/>
    <n v="242"/>
    <n v="584.64"/>
    <x v="4"/>
    <x v="2"/>
    <x v="0"/>
    <s v="Terceiro"/>
    <s v="N"/>
    <s v="RH"/>
    <s v="YNF2039-LUJ"/>
    <n v="132"/>
    <n v="35"/>
    <m/>
    <n v="104"/>
    <m/>
    <m/>
    <s v="010"/>
  </r>
  <r>
    <n v="115"/>
    <n v="845318164"/>
    <x v="114"/>
    <n v="5246"/>
    <x v="1"/>
    <x v="114"/>
    <s v="pedro.santos"/>
    <x v="113"/>
    <n v="40419579"/>
    <m/>
    <m/>
    <n v="40606"/>
    <m/>
    <d v="2015-11-12T00:00:00"/>
    <n v="215"/>
    <x v="114"/>
    <x v="114"/>
    <n v="3845.6000000000004"/>
    <n v="308"/>
    <n v="722.4"/>
    <x v="2"/>
    <x v="1"/>
    <x v="2"/>
    <s v="Efetivo"/>
    <s v="N"/>
    <s v="Gerente"/>
    <s v="OKU7037-BJX"/>
    <n v="148"/>
    <n v="58"/>
    <m/>
    <n v="73"/>
    <m/>
    <m/>
    <s v="213"/>
  </r>
  <r>
    <n v="116"/>
    <n v="235304894"/>
    <x v="115"/>
    <n v="4574"/>
    <x v="0"/>
    <x v="115"/>
    <s v="bruno.felippe"/>
    <x v="114"/>
    <n v="39601742"/>
    <m/>
    <m/>
    <n v="42634"/>
    <m/>
    <s v=""/>
    <n v="236"/>
    <x v="115"/>
    <x v="115"/>
    <n v="4230.8"/>
    <n v="198"/>
    <n v="792.96"/>
    <x v="15"/>
    <x v="2"/>
    <x v="1"/>
    <s v="Terceiro"/>
    <s v="N"/>
    <s v="RH"/>
    <s v="EKZ7848-ESK"/>
    <n v="48"/>
    <n v="58"/>
    <m/>
    <n v="34"/>
    <m/>
    <m/>
    <s v="545"/>
  </r>
  <r>
    <n v="117"/>
    <n v="288726531"/>
    <x v="116"/>
    <n v="7301"/>
    <x v="0"/>
    <x v="116"/>
    <s v="flávio.netto"/>
    <x v="115"/>
    <n v="33769427"/>
    <m/>
    <m/>
    <n v="41175"/>
    <m/>
    <s v=""/>
    <n v="183"/>
    <x v="116"/>
    <x v="116"/>
    <n v="3541.8"/>
    <n v="220"/>
    <n v="614.88"/>
    <x v="9"/>
    <x v="1"/>
    <x v="3"/>
    <s v="Efetivo"/>
    <s v="N"/>
    <s v="Gerente"/>
    <s v="KFU4502-QCO"/>
    <n v="121"/>
    <n v="0"/>
    <m/>
    <n v="111"/>
    <m/>
    <m/>
    <s v="322"/>
  </r>
  <r>
    <n v="118"/>
    <n v="727842295"/>
    <x v="117"/>
    <n v="4855"/>
    <x v="0"/>
    <x v="117"/>
    <s v="lucas.martins"/>
    <x v="116"/>
    <n v="48437941"/>
    <m/>
    <m/>
    <n v="42789"/>
    <m/>
    <s v=""/>
    <n v="211"/>
    <x v="117"/>
    <x v="117"/>
    <n v="4084.8"/>
    <n v="308"/>
    <n v="708.96"/>
    <x v="20"/>
    <x v="3"/>
    <x v="0"/>
    <s v="Terceiro"/>
    <s v="N"/>
    <s v="RH"/>
    <s v="LKO3769-KSV"/>
    <n v="59"/>
    <n v="25"/>
    <m/>
    <n v="133"/>
    <m/>
    <m/>
    <s v="010"/>
  </r>
  <r>
    <n v="119"/>
    <n v="759142473"/>
    <x v="118"/>
    <n v="5141"/>
    <x v="0"/>
    <x v="118"/>
    <s v="hanna.vaz"/>
    <x v="117"/>
    <n v="38710042"/>
    <m/>
    <m/>
    <n v="34899"/>
    <m/>
    <s v=""/>
    <n v="150"/>
    <x v="118"/>
    <x v="118"/>
    <n v="2713.6000000000004"/>
    <n v="176"/>
    <n v="504"/>
    <x v="7"/>
    <x v="3"/>
    <x v="2"/>
    <s v="Terceiro"/>
    <s v="N"/>
    <s v="RH"/>
    <s v="ACR1951-NPN"/>
    <n v="135"/>
    <n v="0"/>
    <m/>
    <n v="172"/>
    <m/>
    <m/>
    <s v="213"/>
  </r>
  <r>
    <n v="120"/>
    <n v="780115759"/>
    <x v="119"/>
    <n v="3254"/>
    <x v="1"/>
    <x v="119"/>
    <s v="isabela.freitas"/>
    <x v="11"/>
    <n v="29121225"/>
    <m/>
    <m/>
    <n v="37763"/>
    <m/>
    <d v="2010-09-03T00:00:00"/>
    <n v="201"/>
    <x v="119"/>
    <x v="119"/>
    <n v="2331"/>
    <n v="154"/>
    <n v="675.36"/>
    <x v="20"/>
    <x v="3"/>
    <x v="0"/>
    <s v="Terceiro"/>
    <s v="N"/>
    <s v="RH"/>
    <s v="OQI4155-YXT"/>
    <n v="107"/>
    <n v="42"/>
    <m/>
    <n v="170"/>
    <m/>
    <m/>
    <s v="010"/>
  </r>
  <r>
    <n v="121"/>
    <n v="951594073"/>
    <x v="120"/>
    <n v="6325"/>
    <x v="0"/>
    <x v="120"/>
    <s v="paulo.pereira"/>
    <x v="118"/>
    <n v="34678179"/>
    <m/>
    <m/>
    <n v="38128"/>
    <m/>
    <s v=""/>
    <n v="197"/>
    <x v="120"/>
    <x v="120"/>
    <n v="1974"/>
    <n v="220"/>
    <n v="661.92000000000007"/>
    <x v="15"/>
    <x v="2"/>
    <x v="1"/>
    <s v="Terceiro"/>
    <s v="N"/>
    <s v="RH"/>
    <s v="TRL5313-ZXC"/>
    <n v="99"/>
    <n v="33"/>
    <m/>
    <n v="185"/>
    <m/>
    <m/>
    <s v="545"/>
  </r>
  <r>
    <n v="122"/>
    <n v="455406136"/>
    <x v="121"/>
    <n v="5007"/>
    <x v="1"/>
    <x v="121"/>
    <s v="thaís.lisboa"/>
    <x v="119"/>
    <n v="30445170"/>
    <m/>
    <m/>
    <n v="42602"/>
    <m/>
    <s v=""/>
    <n v="243"/>
    <x v="121"/>
    <x v="121"/>
    <n v="556.4"/>
    <n v="286"/>
    <n v="816.48"/>
    <x v="6"/>
    <x v="2"/>
    <x v="3"/>
    <s v="Terceiro"/>
    <s v="N"/>
    <s v="RH"/>
    <s v="XDE9070-AJN"/>
    <n v="36"/>
    <n v="21"/>
    <m/>
    <n v="80"/>
    <m/>
    <m/>
    <s v="322"/>
  </r>
  <r>
    <n v="123"/>
    <n v="444360097"/>
    <x v="122"/>
    <n v="4387"/>
    <x v="1"/>
    <x v="122"/>
    <s v="thomaz.wegbrayt"/>
    <x v="120"/>
    <n v="34279902"/>
    <m/>
    <m/>
    <n v="39828"/>
    <m/>
    <s v=""/>
    <n v="188"/>
    <x v="122"/>
    <x v="122"/>
    <n v="3472.6000000000004"/>
    <n v="264"/>
    <n v="631.67999999999995"/>
    <x v="15"/>
    <x v="2"/>
    <x v="1"/>
    <s v="Terceiro"/>
    <s v="N"/>
    <s v="RH"/>
    <s v="GUL3647-KEB"/>
    <n v="21"/>
    <n v="60"/>
    <m/>
    <n v="104"/>
    <m/>
    <m/>
    <s v="545"/>
  </r>
  <r>
    <n v="124"/>
    <n v="588022193"/>
    <x v="123"/>
    <n v="5724"/>
    <x v="1"/>
    <x v="123"/>
    <s v="carolina.fontoura"/>
    <x v="121"/>
    <n v="31692906"/>
    <m/>
    <m/>
    <n v="41434"/>
    <m/>
    <s v=""/>
    <n v="205"/>
    <x v="123"/>
    <x v="123"/>
    <n v="2511.8000000000002"/>
    <n v="242"/>
    <n v="688.80000000000007"/>
    <x v="17"/>
    <x v="2"/>
    <x v="4"/>
    <s v="Terceiro"/>
    <s v="N"/>
    <s v="RH"/>
    <s v="WFF5385-SAG"/>
    <n v="61"/>
    <n v="48"/>
    <m/>
    <n v="6"/>
    <m/>
    <m/>
    <s v="011"/>
  </r>
  <r>
    <n v="125"/>
    <n v="469755388"/>
    <x v="124"/>
    <n v="5062"/>
    <x v="1"/>
    <x v="124"/>
    <s v="débora.ribeiro"/>
    <x v="122"/>
    <n v="26698929"/>
    <m/>
    <m/>
    <n v="35415"/>
    <m/>
    <s v=""/>
    <n v="205"/>
    <x v="124"/>
    <x v="124"/>
    <n v="2153.2000000000003"/>
    <n v="308"/>
    <n v="688.80000000000007"/>
    <x v="14"/>
    <x v="3"/>
    <x v="3"/>
    <s v="Terceiro"/>
    <s v="N"/>
    <s v="RH"/>
    <s v="FBU1511-YVC"/>
    <n v="76"/>
    <n v="51"/>
    <m/>
    <n v="190"/>
    <m/>
    <m/>
    <s v="322"/>
  </r>
  <r>
    <n v="126"/>
    <n v="600923385"/>
    <x v="125"/>
    <n v="1652"/>
    <x v="0"/>
    <x v="125"/>
    <s v="karine.gusmão"/>
    <x v="123"/>
    <n v="20241049"/>
    <m/>
    <m/>
    <n v="33296"/>
    <m/>
    <d v="1998-04-10T00:00:00"/>
    <n v="199"/>
    <x v="125"/>
    <x v="125"/>
    <n v="800.2"/>
    <n v="154"/>
    <n v="668.64"/>
    <x v="2"/>
    <x v="1"/>
    <x v="2"/>
    <s v="Efetivo"/>
    <s v="N"/>
    <s v="Gerente"/>
    <s v="HBD7281-EHW"/>
    <n v="66"/>
    <n v="53"/>
    <m/>
    <n v="167"/>
    <m/>
    <m/>
    <s v="213"/>
  </r>
  <r>
    <n v="127"/>
    <n v="184309718"/>
    <x v="126"/>
    <n v="3373"/>
    <x v="0"/>
    <x v="126"/>
    <s v="isabelle.foly"/>
    <x v="124"/>
    <n v="26918878"/>
    <m/>
    <m/>
    <n v="40219"/>
    <m/>
    <s v=""/>
    <n v="247"/>
    <x v="126"/>
    <x v="126"/>
    <n v="2917.2000000000003"/>
    <n v="286"/>
    <n v="829.92000000000007"/>
    <x v="3"/>
    <x v="2"/>
    <x v="2"/>
    <s v="Terceiro"/>
    <s v="N"/>
    <s v="RH"/>
    <s v="YSX1858-YMW"/>
    <n v="124"/>
    <n v="52"/>
    <m/>
    <n v="183"/>
    <m/>
    <m/>
    <s v="213"/>
  </r>
  <r>
    <n v="128"/>
    <n v="595294024"/>
    <x v="127"/>
    <n v="7582"/>
    <x v="0"/>
    <x v="127"/>
    <s v="lucas.oliveira"/>
    <x v="125"/>
    <n v="21831765"/>
    <m/>
    <m/>
    <n v="39278"/>
    <m/>
    <d v="2009-10-05T00:00:00"/>
    <n v="244"/>
    <x v="127"/>
    <x v="127"/>
    <n v="4804.2"/>
    <n v="264"/>
    <n v="819.84"/>
    <x v="14"/>
    <x v="3"/>
    <x v="3"/>
    <s v="Terceiro"/>
    <s v="N"/>
    <s v="RH"/>
    <s v="FXA3626-JFJ"/>
    <n v="104"/>
    <n v="28"/>
    <m/>
    <n v="52"/>
    <m/>
    <m/>
    <s v="322"/>
  </r>
  <r>
    <n v="129"/>
    <n v="925836109"/>
    <x v="128"/>
    <n v="2668"/>
    <x v="1"/>
    <x v="128"/>
    <s v="pedro.assis"/>
    <x v="126"/>
    <n v="35669174"/>
    <m/>
    <m/>
    <n v="39892"/>
    <m/>
    <s v=""/>
    <n v="196"/>
    <x v="128"/>
    <x v="128"/>
    <n v="4313.2"/>
    <n v="242"/>
    <n v="658.56"/>
    <x v="15"/>
    <x v="2"/>
    <x v="1"/>
    <s v="Terceiro"/>
    <s v="N"/>
    <s v="RH"/>
    <s v="VYT7589-WCE"/>
    <n v="108"/>
    <n v="9"/>
    <m/>
    <n v="192"/>
    <m/>
    <m/>
    <s v="545"/>
  </r>
  <r>
    <n v="130"/>
    <n v="603708618"/>
    <x v="129"/>
    <n v="7725"/>
    <x v="1"/>
    <x v="129"/>
    <s v="mylena.mariano"/>
    <x v="127"/>
    <n v="25874416"/>
    <m/>
    <m/>
    <n v="39656"/>
    <m/>
    <s v=""/>
    <n v="178"/>
    <x v="129"/>
    <x v="129"/>
    <n v="1163.6000000000001"/>
    <n v="242"/>
    <n v="598.07999999999993"/>
    <x v="11"/>
    <x v="3"/>
    <x v="4"/>
    <s v="Terceiro"/>
    <s v="N"/>
    <s v="RH"/>
    <s v="KZK3760-NMY"/>
    <n v="136"/>
    <n v="5"/>
    <m/>
    <n v="163"/>
    <m/>
    <m/>
    <s v="011"/>
  </r>
  <r>
    <n v="131"/>
    <n v="769344859"/>
    <x v="130"/>
    <n v="4598"/>
    <x v="0"/>
    <x v="130"/>
    <s v="renan.taylor"/>
    <x v="128"/>
    <n v="46608605"/>
    <m/>
    <m/>
    <n v="42397"/>
    <m/>
    <s v=""/>
    <n v="192"/>
    <x v="130"/>
    <x v="130"/>
    <n v="1485.6000000000001"/>
    <n v="154"/>
    <n v="645.12"/>
    <x v="22"/>
    <x v="4"/>
    <x v="3"/>
    <s v="Efetivo"/>
    <s v="S"/>
    <s v="Diretoria"/>
    <s v="GLZ5793-DMD"/>
    <n v="117"/>
    <n v="29"/>
    <m/>
    <n v="174"/>
    <m/>
    <m/>
    <s v="322"/>
  </r>
  <r>
    <n v="132"/>
    <n v="243863864"/>
    <x v="131"/>
    <n v="5039"/>
    <x v="0"/>
    <x v="131"/>
    <s v="joão.barbosa"/>
    <x v="129"/>
    <n v="26378462"/>
    <m/>
    <m/>
    <n v="32666"/>
    <m/>
    <s v=""/>
    <n v="216"/>
    <x v="131"/>
    <x v="131"/>
    <n v="1377.4"/>
    <n v="286"/>
    <n v="725.76"/>
    <x v="22"/>
    <x v="4"/>
    <x v="3"/>
    <s v="Efetivo"/>
    <s v="S"/>
    <s v="Diretoria"/>
    <s v="BTY2419-VZQ"/>
    <n v="149"/>
    <n v="23"/>
    <m/>
    <n v="103"/>
    <m/>
    <m/>
    <s v="322"/>
  </r>
  <r>
    <n v="133"/>
    <n v="949607826"/>
    <x v="132"/>
    <n v="1317"/>
    <x v="1"/>
    <x v="132"/>
    <s v="adrielle.rodrigues"/>
    <x v="130"/>
    <n v="33185233"/>
    <m/>
    <m/>
    <n v="37006"/>
    <m/>
    <s v=""/>
    <n v="161"/>
    <x v="132"/>
    <x v="132"/>
    <n v="2284.8000000000002"/>
    <n v="286"/>
    <n v="540.96"/>
    <x v="10"/>
    <x v="3"/>
    <x v="1"/>
    <s v="Terceiro"/>
    <s v="N"/>
    <s v="RH"/>
    <s v="SYJ8887-PHE"/>
    <n v="110"/>
    <n v="18"/>
    <m/>
    <n v="147"/>
    <m/>
    <m/>
    <s v="545"/>
  </r>
  <r>
    <n v="134"/>
    <n v="633481953"/>
    <x v="133"/>
    <n v="2412"/>
    <x v="1"/>
    <x v="133"/>
    <s v="caroline.mattos"/>
    <x v="33"/>
    <n v="49497426"/>
    <m/>
    <m/>
    <n v="41743"/>
    <m/>
    <d v="2015-06-10T00:00:00"/>
    <n v="233"/>
    <x v="133"/>
    <x v="133"/>
    <n v="4953.8"/>
    <n v="198"/>
    <n v="782.88"/>
    <x v="20"/>
    <x v="3"/>
    <x v="0"/>
    <s v="Terceiro"/>
    <s v="N"/>
    <s v="RH"/>
    <s v="DPI9737-KTI"/>
    <n v="41"/>
    <n v="37"/>
    <m/>
    <n v="71"/>
    <m/>
    <m/>
    <s v="010"/>
  </r>
  <r>
    <n v="135"/>
    <n v="932776517"/>
    <x v="134"/>
    <n v="2192"/>
    <x v="0"/>
    <x v="134"/>
    <s v="caroline.figueiredo"/>
    <x v="131"/>
    <n v="21613320"/>
    <m/>
    <m/>
    <n v="38543"/>
    <m/>
    <s v=""/>
    <n v="247"/>
    <x v="134"/>
    <x v="134"/>
    <n v="2701.2000000000003"/>
    <n v="154"/>
    <n v="829.92000000000007"/>
    <x v="7"/>
    <x v="3"/>
    <x v="2"/>
    <s v="Terceiro"/>
    <s v="N"/>
    <s v="RH"/>
    <s v="CMA4800-VMM"/>
    <n v="56"/>
    <n v="48"/>
    <m/>
    <n v="90"/>
    <m/>
    <m/>
    <s v="213"/>
  </r>
  <r>
    <n v="136"/>
    <n v="374534296"/>
    <x v="135"/>
    <n v="2517"/>
    <x v="0"/>
    <x v="135"/>
    <s v="julia.valim"/>
    <x v="132"/>
    <n v="29222960"/>
    <m/>
    <m/>
    <n v="38416"/>
    <m/>
    <d v="2012-04-08T00:00:00"/>
    <n v="215"/>
    <x v="135"/>
    <x v="135"/>
    <n v="2192.2000000000003"/>
    <n v="154"/>
    <n v="722.4"/>
    <x v="6"/>
    <x v="2"/>
    <x v="3"/>
    <s v="Terceiro"/>
    <s v="N"/>
    <s v="RH"/>
    <s v="ELZ6317-QGI"/>
    <n v="66"/>
    <n v="22"/>
    <m/>
    <n v="191"/>
    <m/>
    <m/>
    <s v="322"/>
  </r>
  <r>
    <n v="137"/>
    <n v="673312392"/>
    <x v="136"/>
    <n v="3810"/>
    <x v="0"/>
    <x v="136"/>
    <s v="stefan.vargas"/>
    <x v="133"/>
    <n v="36858409"/>
    <m/>
    <m/>
    <n v="34529"/>
    <m/>
    <s v=""/>
    <n v="194"/>
    <x v="136"/>
    <x v="136"/>
    <n v="3487.4"/>
    <n v="176"/>
    <n v="651.84"/>
    <x v="17"/>
    <x v="2"/>
    <x v="4"/>
    <s v="Terceiro"/>
    <s v="N"/>
    <s v="RH"/>
    <s v="NCP8415-LEP"/>
    <n v="88"/>
    <n v="11"/>
    <m/>
    <n v="48"/>
    <m/>
    <m/>
    <s v="011"/>
  </r>
  <r>
    <n v="138"/>
    <n v="390574367"/>
    <x v="137"/>
    <n v="1930"/>
    <x v="1"/>
    <x v="137"/>
    <s v="maria.almeida"/>
    <x v="134"/>
    <n v="46661375"/>
    <m/>
    <m/>
    <n v="41884"/>
    <m/>
    <s v=""/>
    <n v="164"/>
    <x v="137"/>
    <x v="137"/>
    <n v="2778.6000000000004"/>
    <n v="242"/>
    <n v="551.04"/>
    <x v="17"/>
    <x v="2"/>
    <x v="4"/>
    <s v="Terceiro"/>
    <s v="N"/>
    <s v="RH"/>
    <s v="CMH9765-QFZ"/>
    <n v="148"/>
    <n v="4"/>
    <m/>
    <n v="173"/>
    <n v="321"/>
    <m/>
    <s v="011"/>
  </r>
  <r>
    <n v="139"/>
    <n v="408424820"/>
    <x v="138"/>
    <n v="6040"/>
    <x v="1"/>
    <x v="138"/>
    <s v="paloma.albano"/>
    <x v="135"/>
    <n v="45440008"/>
    <m/>
    <m/>
    <n v="39630"/>
    <m/>
    <s v=""/>
    <n v="188"/>
    <x v="138"/>
    <x v="138"/>
    <n v="3106.2000000000003"/>
    <n v="220"/>
    <n v="631.67999999999995"/>
    <x v="7"/>
    <x v="3"/>
    <x v="2"/>
    <s v="Terceiro"/>
    <s v="N"/>
    <s v="RH"/>
    <s v="YEZ3462-EBW"/>
    <n v="128"/>
    <n v="26"/>
    <m/>
    <n v="135"/>
    <m/>
    <m/>
    <s v="213"/>
  </r>
  <r>
    <n v="140"/>
    <n v="537173194"/>
    <x v="139"/>
    <n v="3037"/>
    <x v="0"/>
    <x v="139"/>
    <s v="fernanda.santo"/>
    <x v="136"/>
    <n v="46493303"/>
    <m/>
    <m/>
    <n v="37718"/>
    <m/>
    <d v="2011-02-04T00:00:00"/>
    <n v="192"/>
    <x v="139"/>
    <x v="139"/>
    <n v="1450.8000000000002"/>
    <n v="308"/>
    <n v="645.12"/>
    <x v="17"/>
    <x v="2"/>
    <x v="4"/>
    <s v="Terceiro"/>
    <s v="N"/>
    <s v="RH"/>
    <s v="IFY3546-LXH"/>
    <n v="122"/>
    <n v="28"/>
    <m/>
    <n v="59"/>
    <m/>
    <m/>
    <s v="011"/>
  </r>
  <r>
    <n v="141"/>
    <n v="129089379"/>
    <x v="140"/>
    <n v="1174"/>
    <x v="1"/>
    <x v="140"/>
    <s v="rodrigo.mesquita"/>
    <x v="137"/>
    <n v="47676496"/>
    <m/>
    <m/>
    <n v="38198"/>
    <m/>
    <d v="2014-04-02T00:00:00"/>
    <n v="198"/>
    <x v="140"/>
    <x v="140"/>
    <n v="4840.6000000000004"/>
    <n v="220"/>
    <n v="665.28000000000009"/>
    <x v="0"/>
    <x v="0"/>
    <x v="0"/>
    <s v="Efetivo"/>
    <s v="S"/>
    <s v="Diretoria"/>
    <s v="ASY2253-LHU"/>
    <n v="97"/>
    <n v="15"/>
    <m/>
    <n v="6"/>
    <m/>
    <m/>
    <s v="010"/>
  </r>
  <r>
    <n v="142"/>
    <n v="203749962"/>
    <x v="141"/>
    <n v="2434"/>
    <x v="1"/>
    <x v="141"/>
    <s v="gabriel.mello"/>
    <x v="138"/>
    <n v="45441663"/>
    <m/>
    <m/>
    <n v="40799"/>
    <m/>
    <s v=""/>
    <n v="157"/>
    <x v="141"/>
    <x v="141"/>
    <n v="4919.6000000000004"/>
    <n v="242"/>
    <n v="527.52"/>
    <x v="1"/>
    <x v="1"/>
    <x v="1"/>
    <s v="Efetivo"/>
    <s v="N"/>
    <s v="Gerente"/>
    <s v="ZCQ9267-RAH"/>
    <n v="36"/>
    <n v="32"/>
    <m/>
    <n v="23"/>
    <m/>
    <m/>
    <s v="545"/>
  </r>
  <r>
    <n v="143"/>
    <n v="659993123"/>
    <x v="142"/>
    <n v="7572"/>
    <x v="0"/>
    <x v="142"/>
    <s v="renan.ott"/>
    <x v="139"/>
    <n v="37913662"/>
    <m/>
    <m/>
    <n v="42635"/>
    <m/>
    <s v=""/>
    <n v="153"/>
    <x v="142"/>
    <x v="142"/>
    <n v="2158.6"/>
    <n v="242"/>
    <n v="514.07999999999993"/>
    <x v="15"/>
    <x v="2"/>
    <x v="1"/>
    <s v="Terceiro"/>
    <s v="N"/>
    <s v="RH"/>
    <s v="DZR6906-AYO"/>
    <n v="40"/>
    <n v="46"/>
    <m/>
    <n v="136"/>
    <m/>
    <m/>
    <s v="545"/>
  </r>
  <r>
    <n v="144"/>
    <n v="646471086"/>
    <x v="143"/>
    <n v="5189"/>
    <x v="1"/>
    <x v="143"/>
    <s v="lucas.pereira"/>
    <x v="140"/>
    <n v="40458933"/>
    <m/>
    <m/>
    <n v="42164"/>
    <m/>
    <s v=""/>
    <n v="237"/>
    <x v="143"/>
    <x v="143"/>
    <n v="809.6"/>
    <n v="198"/>
    <n v="796.32"/>
    <x v="19"/>
    <x v="1"/>
    <x v="4"/>
    <s v="Efetivo"/>
    <s v="N"/>
    <s v="Gerente"/>
    <s v="VXR2696-JNI"/>
    <n v="95"/>
    <n v="25"/>
    <m/>
    <n v="5"/>
    <m/>
    <m/>
    <s v="011"/>
  </r>
  <r>
    <n v="145"/>
    <n v="716621565"/>
    <x v="144"/>
    <n v="3994"/>
    <x v="1"/>
    <x v="144"/>
    <s v="arnôr.penedo"/>
    <x v="141"/>
    <n v="49514536"/>
    <m/>
    <m/>
    <n v="41689"/>
    <m/>
    <d v="2018-01-05T00:00:00"/>
    <n v="191"/>
    <x v="144"/>
    <x v="144"/>
    <n v="1769.2"/>
    <n v="220"/>
    <n v="641.76"/>
    <x v="17"/>
    <x v="2"/>
    <x v="4"/>
    <s v="Terceiro"/>
    <s v="N"/>
    <s v="RH"/>
    <s v="CFN2925-ZRC"/>
    <n v="123"/>
    <n v="31"/>
    <m/>
    <n v="94"/>
    <m/>
    <m/>
    <s v="011"/>
  </r>
  <r>
    <n v="146"/>
    <n v="667495629"/>
    <x v="145"/>
    <n v="2087"/>
    <x v="1"/>
    <x v="145"/>
    <s v="carolina.silva"/>
    <x v="142"/>
    <n v="25797299"/>
    <m/>
    <m/>
    <n v="42104"/>
    <m/>
    <d v="2016-06-09T00:00:00"/>
    <n v="222"/>
    <x v="145"/>
    <x v="145"/>
    <n v="4270.8"/>
    <n v="176"/>
    <n v="745.92000000000007"/>
    <x v="14"/>
    <x v="3"/>
    <x v="3"/>
    <s v="Terceiro"/>
    <s v="N"/>
    <s v="RH"/>
    <s v="OAF8645-BHY"/>
    <n v="54"/>
    <n v="53"/>
    <m/>
    <n v="20"/>
    <m/>
    <m/>
    <s v="322"/>
  </r>
  <r>
    <n v="147"/>
    <n v="513196169"/>
    <x v="146"/>
    <n v="3177"/>
    <x v="1"/>
    <x v="146"/>
    <s v="andre.junior"/>
    <x v="143"/>
    <n v="34647307"/>
    <m/>
    <m/>
    <n v="38779"/>
    <m/>
    <d v="2008-03-17T00:00:00"/>
    <n v="205"/>
    <x v="146"/>
    <x v="146"/>
    <n v="1229.6000000000001"/>
    <n v="264"/>
    <n v="688.80000000000007"/>
    <x v="2"/>
    <x v="1"/>
    <x v="2"/>
    <s v="Efetivo"/>
    <s v="N"/>
    <s v="Gerente"/>
    <s v="IED8054-DQM"/>
    <n v="88"/>
    <n v="60"/>
    <m/>
    <n v="72"/>
    <m/>
    <m/>
    <s v="213"/>
  </r>
  <r>
    <n v="148"/>
    <n v="394177057"/>
    <x v="147"/>
    <n v="7012"/>
    <x v="1"/>
    <x v="147"/>
    <s v="caio.stellet"/>
    <x v="144"/>
    <n v="48922500"/>
    <m/>
    <m/>
    <n v="40808"/>
    <m/>
    <s v=""/>
    <n v="167"/>
    <x v="147"/>
    <x v="147"/>
    <n v="4919.2000000000007"/>
    <n v="242"/>
    <n v="561.12"/>
    <x v="3"/>
    <x v="2"/>
    <x v="2"/>
    <s v="Terceiro"/>
    <s v="N"/>
    <s v="RH"/>
    <s v="TMD1163-TEI"/>
    <n v="127"/>
    <n v="21"/>
    <m/>
    <n v="199"/>
    <m/>
    <m/>
    <s v="213"/>
  </r>
  <r>
    <n v="149"/>
    <n v="204172912"/>
    <x v="148"/>
    <n v="6510"/>
    <x v="0"/>
    <x v="148"/>
    <s v="fernanda.rocha"/>
    <x v="145"/>
    <n v="21954100"/>
    <m/>
    <m/>
    <n v="39801"/>
    <m/>
    <s v=""/>
    <n v="198"/>
    <x v="148"/>
    <x v="148"/>
    <n v="1015.6"/>
    <n v="308"/>
    <n v="665.28000000000009"/>
    <x v="19"/>
    <x v="1"/>
    <x v="4"/>
    <s v="Efetivo"/>
    <s v="N"/>
    <s v="Gerente"/>
    <s v="IAO2272-UBR"/>
    <n v="47"/>
    <n v="29"/>
    <m/>
    <n v="98"/>
    <m/>
    <m/>
    <s v="011"/>
  </r>
  <r>
    <n v="150"/>
    <n v="182405163"/>
    <x v="149"/>
    <n v="7157"/>
    <x v="0"/>
    <x v="149"/>
    <s v="eduardo.brum"/>
    <x v="146"/>
    <n v="46655812"/>
    <m/>
    <m/>
    <n v="39585"/>
    <m/>
    <s v=""/>
    <n v="229"/>
    <x v="149"/>
    <x v="149"/>
    <n v="3187.8"/>
    <n v="220"/>
    <n v="769.44"/>
    <x v="17"/>
    <x v="2"/>
    <x v="4"/>
    <s v="Terceiro"/>
    <s v="N"/>
    <s v="RH"/>
    <s v="VGE5952-CAR"/>
    <n v="43"/>
    <n v="50"/>
    <m/>
    <n v="157"/>
    <m/>
    <m/>
    <s v="011"/>
  </r>
  <r>
    <n v="151"/>
    <n v="251544740"/>
    <x v="150"/>
    <n v="3305"/>
    <x v="1"/>
    <x v="150"/>
    <s v="ângelo.gois"/>
    <x v="147"/>
    <n v="31653600"/>
    <m/>
    <m/>
    <n v="39923"/>
    <m/>
    <s v=""/>
    <n v="213"/>
    <x v="150"/>
    <x v="150"/>
    <n v="2918.2000000000003"/>
    <n v="220"/>
    <n v="715.68"/>
    <x v="9"/>
    <x v="1"/>
    <x v="3"/>
    <s v="Efetivo"/>
    <s v="N"/>
    <s v="Gerente"/>
    <s v="BQF8965-XEK"/>
    <n v="31"/>
    <n v="9"/>
    <m/>
    <n v="174"/>
    <m/>
    <m/>
    <s v="322"/>
  </r>
  <r>
    <n v="152"/>
    <n v="225189401"/>
    <x v="151"/>
    <n v="2731"/>
    <x v="0"/>
    <x v="151"/>
    <s v="carolina.barros"/>
    <x v="148"/>
    <n v="42215643"/>
    <m/>
    <m/>
    <n v="42935"/>
    <m/>
    <s v=""/>
    <n v="217"/>
    <x v="151"/>
    <x v="151"/>
    <n v="4962.8"/>
    <n v="286"/>
    <n v="729.12"/>
    <x v="20"/>
    <x v="3"/>
    <x v="0"/>
    <s v="Terceiro"/>
    <s v="N"/>
    <s v="RH"/>
    <s v="HZR6926-BVS"/>
    <n v="76"/>
    <n v="51"/>
    <m/>
    <n v="6"/>
    <m/>
    <m/>
    <s v="010"/>
  </r>
  <r>
    <n v="153"/>
    <n v="395791459"/>
    <x v="152"/>
    <n v="1973"/>
    <x v="0"/>
    <x v="152"/>
    <s v="izabel.costa"/>
    <x v="149"/>
    <n v="46440824"/>
    <m/>
    <m/>
    <n v="41457"/>
    <m/>
    <d v="2014-12-25T00:00:00"/>
    <n v="191"/>
    <x v="152"/>
    <x v="152"/>
    <n v="4951.2000000000007"/>
    <n v="264"/>
    <n v="641.76"/>
    <x v="8"/>
    <x v="4"/>
    <x v="1"/>
    <s v="Efetivo"/>
    <s v="S"/>
    <s v="Diretoria"/>
    <s v="XZG4955-HSQ"/>
    <n v="82"/>
    <n v="44"/>
    <m/>
    <n v="198"/>
    <m/>
    <m/>
    <s v="545"/>
  </r>
  <r>
    <n v="154"/>
    <n v="330677676"/>
    <x v="153"/>
    <n v="2570"/>
    <x v="0"/>
    <x v="153"/>
    <s v="carlos.mota"/>
    <x v="150"/>
    <n v="39693700"/>
    <m/>
    <m/>
    <n v="36796"/>
    <m/>
    <s v=""/>
    <n v="173"/>
    <x v="153"/>
    <x v="153"/>
    <n v="1997.2"/>
    <n v="242"/>
    <n v="581.28000000000009"/>
    <x v="19"/>
    <x v="1"/>
    <x v="4"/>
    <s v="Efetivo"/>
    <s v="N"/>
    <s v="Gerente"/>
    <s v="SPU2561-WRH"/>
    <n v="148"/>
    <n v="11"/>
    <m/>
    <n v="82"/>
    <m/>
    <m/>
    <s v="011"/>
  </r>
  <r>
    <n v="155"/>
    <n v="259228025"/>
    <x v="154"/>
    <n v="6989"/>
    <x v="1"/>
    <x v="154"/>
    <s v="thayza.rocha"/>
    <x v="151"/>
    <n v="42449215"/>
    <m/>
    <m/>
    <n v="38518"/>
    <m/>
    <s v=""/>
    <n v="232"/>
    <x v="154"/>
    <x v="154"/>
    <n v="1089.4000000000001"/>
    <n v="220"/>
    <n v="779.52"/>
    <x v="7"/>
    <x v="3"/>
    <x v="2"/>
    <s v="Terceiro"/>
    <s v="N"/>
    <s v="RH"/>
    <s v="WPC7635-QHG"/>
    <n v="142"/>
    <n v="1"/>
    <m/>
    <n v="131"/>
    <m/>
    <m/>
    <s v="213"/>
  </r>
  <r>
    <n v="156"/>
    <n v="408044704"/>
    <x v="155"/>
    <n v="6806"/>
    <x v="0"/>
    <x v="155"/>
    <s v="luiz.gonçalves"/>
    <x v="152"/>
    <n v="48760082"/>
    <m/>
    <m/>
    <n v="36874"/>
    <m/>
    <s v=""/>
    <n v="236"/>
    <x v="155"/>
    <x v="155"/>
    <n v="1686.2"/>
    <n v="286"/>
    <n v="792.96"/>
    <x v="20"/>
    <x v="3"/>
    <x v="0"/>
    <s v="Terceiro"/>
    <s v="N"/>
    <s v="RH"/>
    <s v="GNF8062-JEQ"/>
    <n v="106"/>
    <n v="2"/>
    <m/>
    <n v="22"/>
    <m/>
    <m/>
    <s v="010"/>
  </r>
  <r>
    <n v="157"/>
    <n v="390520641"/>
    <x v="156"/>
    <n v="3393"/>
    <x v="0"/>
    <x v="156"/>
    <s v="ramon.vaz"/>
    <x v="153"/>
    <n v="32038710"/>
    <m/>
    <m/>
    <n v="36341"/>
    <m/>
    <s v=""/>
    <n v="229"/>
    <x v="156"/>
    <x v="156"/>
    <n v="4394.8"/>
    <n v="264"/>
    <n v="769.44"/>
    <x v="11"/>
    <x v="3"/>
    <x v="4"/>
    <s v="Terceiro"/>
    <s v="N"/>
    <s v="RH"/>
    <s v="JHN8172-DVZ"/>
    <n v="148"/>
    <n v="4"/>
    <m/>
    <n v="78"/>
    <m/>
    <m/>
    <s v="011"/>
  </r>
  <r>
    <n v="158"/>
    <n v="111015969"/>
    <x v="157"/>
    <n v="5454"/>
    <x v="1"/>
    <x v="157"/>
    <s v="amanda.rodrigues"/>
    <x v="121"/>
    <n v="32580130"/>
    <m/>
    <m/>
    <n v="40367"/>
    <m/>
    <s v=""/>
    <n v="198"/>
    <x v="157"/>
    <x v="157"/>
    <n v="3371.8"/>
    <n v="242"/>
    <n v="665.28000000000009"/>
    <x v="15"/>
    <x v="2"/>
    <x v="1"/>
    <s v="Terceiro"/>
    <s v="N"/>
    <s v="RH"/>
    <s v="BKC3941-ETB"/>
    <n v="72"/>
    <n v="37"/>
    <m/>
    <n v="59"/>
    <m/>
    <m/>
    <s v="545"/>
  </r>
  <r>
    <n v="159"/>
    <n v="317971034"/>
    <x v="158"/>
    <n v="7804"/>
    <x v="0"/>
    <x v="158"/>
    <s v="hannah.oliveira"/>
    <x v="154"/>
    <n v="36423854"/>
    <m/>
    <m/>
    <n v="43036"/>
    <m/>
    <d v="2018-01-05T00:00:00"/>
    <n v="173"/>
    <x v="158"/>
    <x v="158"/>
    <n v="2349"/>
    <n v="198"/>
    <n v="581.28000000000009"/>
    <x v="2"/>
    <x v="1"/>
    <x v="2"/>
    <s v="Efetivo"/>
    <s v="N"/>
    <s v="Gerente"/>
    <s v="ACB9527-KPK"/>
    <n v="81"/>
    <n v="38"/>
    <m/>
    <n v="161"/>
    <m/>
    <m/>
    <s v="213"/>
  </r>
  <r>
    <n v="160"/>
    <n v="631610398"/>
    <x v="159"/>
    <n v="3864"/>
    <x v="1"/>
    <x v="159"/>
    <s v="eduardo.ramos"/>
    <x v="155"/>
    <n v="49371991"/>
    <m/>
    <m/>
    <n v="40314"/>
    <m/>
    <s v=""/>
    <n v="237"/>
    <x v="159"/>
    <x v="159"/>
    <n v="4770"/>
    <n v="286"/>
    <n v="796.32"/>
    <x v="2"/>
    <x v="1"/>
    <x v="2"/>
    <s v="Efetivo"/>
    <s v="N"/>
    <s v="Gerente"/>
    <s v="BBQ5347-BRZ"/>
    <n v="102"/>
    <n v="3"/>
    <m/>
    <n v="180"/>
    <m/>
    <m/>
    <s v="213"/>
  </r>
  <r>
    <n v="161"/>
    <n v="544186857"/>
    <x v="160"/>
    <n v="3555"/>
    <x v="0"/>
    <x v="160"/>
    <s v="victor.bezerra"/>
    <x v="156"/>
    <n v="31055239"/>
    <m/>
    <m/>
    <n v="35499"/>
    <m/>
    <s v=""/>
    <n v="198"/>
    <x v="160"/>
    <x v="160"/>
    <n v="1747.2"/>
    <n v="176"/>
    <n v="665.28000000000009"/>
    <x v="1"/>
    <x v="1"/>
    <x v="1"/>
    <s v="Efetivo"/>
    <s v="N"/>
    <s v="Gerente"/>
    <s v="UQJ6098-TVK"/>
    <n v="30"/>
    <n v="31"/>
    <m/>
    <n v="117"/>
    <m/>
    <m/>
    <s v="545"/>
  </r>
  <r>
    <n v="162"/>
    <n v="441469607"/>
    <x v="161"/>
    <n v="1911"/>
    <x v="1"/>
    <x v="161"/>
    <s v="lunna.bogossian"/>
    <x v="157"/>
    <n v="37218757"/>
    <m/>
    <m/>
    <n v="40611"/>
    <m/>
    <s v=""/>
    <n v="228"/>
    <x v="161"/>
    <x v="161"/>
    <n v="2260.8000000000002"/>
    <n v="308"/>
    <n v="766.07999999999993"/>
    <x v="0"/>
    <x v="0"/>
    <x v="0"/>
    <s v="Efetivo"/>
    <s v="S"/>
    <s v="Diretoria"/>
    <s v="VZC6615-UGR"/>
    <n v="75"/>
    <n v="7"/>
    <m/>
    <n v="180"/>
    <m/>
    <m/>
    <s v="010"/>
  </r>
  <r>
    <n v="163"/>
    <n v="116766695"/>
    <x v="162"/>
    <n v="1990"/>
    <x v="1"/>
    <x v="162"/>
    <s v="yasmini.richa"/>
    <x v="158"/>
    <n v="32457327"/>
    <m/>
    <m/>
    <n v="41493"/>
    <m/>
    <s v=""/>
    <n v="238"/>
    <x v="162"/>
    <x v="162"/>
    <n v="2758.4"/>
    <n v="176"/>
    <n v="799.68"/>
    <x v="10"/>
    <x v="3"/>
    <x v="1"/>
    <s v="Terceiro"/>
    <s v="N"/>
    <s v="RH"/>
    <s v="JRD9576-MHG"/>
    <n v="31"/>
    <n v="20"/>
    <m/>
    <n v="175"/>
    <m/>
    <m/>
    <s v="545"/>
  </r>
  <r>
    <n v="164"/>
    <n v="959730891"/>
    <x v="163"/>
    <n v="3709"/>
    <x v="0"/>
    <x v="163"/>
    <s v="bruna.barcelos"/>
    <x v="159"/>
    <n v="31170692"/>
    <m/>
    <m/>
    <n v="37853"/>
    <m/>
    <d v="2011-04-10T00:00:00"/>
    <n v="152"/>
    <x v="163"/>
    <x v="163"/>
    <n v="3229.6000000000004"/>
    <n v="286"/>
    <n v="510.71999999999997"/>
    <x v="9"/>
    <x v="1"/>
    <x v="3"/>
    <s v="Efetivo"/>
    <s v="N"/>
    <s v="Gerente"/>
    <s v="TGV2973-AIY"/>
    <n v="70"/>
    <n v="11"/>
    <m/>
    <n v="99"/>
    <m/>
    <m/>
    <s v="322"/>
  </r>
  <r>
    <n v="165"/>
    <n v="264546724"/>
    <x v="164"/>
    <n v="7496"/>
    <x v="0"/>
    <x v="164"/>
    <s v="eric.silva"/>
    <x v="160"/>
    <n v="21744669"/>
    <m/>
    <m/>
    <n v="41208"/>
    <m/>
    <s v=""/>
    <n v="162"/>
    <x v="164"/>
    <x v="164"/>
    <n v="3080.2000000000003"/>
    <n v="176"/>
    <n v="544.32000000000005"/>
    <x v="13"/>
    <x v="0"/>
    <x v="2"/>
    <s v="Efetivo"/>
    <s v="S"/>
    <s v="Diretoria"/>
    <s v="DYY6937-BOV"/>
    <n v="45"/>
    <n v="35"/>
    <m/>
    <n v="81"/>
    <m/>
    <m/>
    <s v="213"/>
  </r>
  <r>
    <n v="166"/>
    <n v="257669584"/>
    <x v="165"/>
    <n v="6372"/>
    <x v="1"/>
    <x v="165"/>
    <s v="fabio.eiras"/>
    <x v="161"/>
    <n v="36006094"/>
    <m/>
    <m/>
    <n v="38032"/>
    <m/>
    <s v=""/>
    <n v="228"/>
    <x v="165"/>
    <x v="165"/>
    <n v="842.40000000000009"/>
    <n v="308"/>
    <n v="766.07999999999993"/>
    <x v="9"/>
    <x v="1"/>
    <x v="3"/>
    <s v="Efetivo"/>
    <s v="N"/>
    <s v="Gerente"/>
    <s v="WKR1861-GXJ"/>
    <n v="83"/>
    <n v="30"/>
    <m/>
    <n v="124"/>
    <m/>
    <m/>
    <s v="322"/>
  </r>
  <r>
    <n v="167"/>
    <n v="562508073"/>
    <x v="166"/>
    <n v="5871"/>
    <x v="0"/>
    <x v="166"/>
    <s v="aledio.silva"/>
    <x v="162"/>
    <n v="44845345"/>
    <m/>
    <m/>
    <n v="37781"/>
    <m/>
    <s v=""/>
    <n v="187"/>
    <x v="166"/>
    <x v="166"/>
    <n v="705"/>
    <n v="176"/>
    <n v="628.32000000000005"/>
    <x v="14"/>
    <x v="3"/>
    <x v="3"/>
    <s v="Terceiro"/>
    <s v="N"/>
    <s v="RH"/>
    <s v="QBV3390-SGX"/>
    <n v="78"/>
    <n v="50"/>
    <m/>
    <n v="16"/>
    <m/>
    <m/>
    <s v="322"/>
  </r>
  <r>
    <n v="168"/>
    <n v="266341456"/>
    <x v="167"/>
    <n v="6177"/>
    <x v="1"/>
    <x v="167"/>
    <s v="brenno.leite"/>
    <x v="163"/>
    <n v="33593365"/>
    <m/>
    <m/>
    <n v="36283"/>
    <m/>
    <s v=""/>
    <n v="240"/>
    <x v="167"/>
    <x v="167"/>
    <n v="1792"/>
    <n v="198"/>
    <n v="806.4"/>
    <x v="11"/>
    <x v="3"/>
    <x v="4"/>
    <s v="Terceiro"/>
    <s v="N"/>
    <s v="RH"/>
    <s v="QNF1672-MHJ"/>
    <n v="23"/>
    <n v="34"/>
    <m/>
    <n v="199"/>
    <m/>
    <m/>
    <s v="011"/>
  </r>
  <r>
    <n v="169"/>
    <n v="348509149"/>
    <x v="168"/>
    <n v="1729"/>
    <x v="1"/>
    <x v="168"/>
    <s v="david.paula"/>
    <x v="164"/>
    <n v="45758272"/>
    <m/>
    <m/>
    <n v="38789"/>
    <m/>
    <s v=""/>
    <n v="248"/>
    <x v="168"/>
    <x v="168"/>
    <n v="2507.6000000000004"/>
    <n v="308"/>
    <n v="833.28000000000009"/>
    <x v="19"/>
    <x v="1"/>
    <x v="4"/>
    <s v="Efetivo"/>
    <s v="N"/>
    <s v="Gerente"/>
    <s v="UZE6566-NGD"/>
    <n v="75"/>
    <n v="50"/>
    <m/>
    <n v="126"/>
    <m/>
    <m/>
    <s v="011"/>
  </r>
  <r>
    <n v="170"/>
    <n v="935370184"/>
    <x v="169"/>
    <n v="6455"/>
    <x v="1"/>
    <x v="169"/>
    <s v="lígia.filardi"/>
    <x v="165"/>
    <n v="23059569"/>
    <m/>
    <m/>
    <n v="41622"/>
    <m/>
    <s v=""/>
    <n v="170"/>
    <x v="169"/>
    <x v="169"/>
    <n v="2746.4"/>
    <n v="286"/>
    <n v="571.19999999999993"/>
    <x v="9"/>
    <x v="1"/>
    <x v="3"/>
    <s v="Efetivo"/>
    <s v="N"/>
    <s v="Gerente"/>
    <s v="LZP1912-ZNC"/>
    <n v="24"/>
    <n v="13"/>
    <m/>
    <n v="153"/>
    <m/>
    <m/>
    <s v="322"/>
  </r>
  <r>
    <n v="171"/>
    <n v="856395060"/>
    <x v="170"/>
    <n v="6474"/>
    <x v="1"/>
    <x v="170"/>
    <s v="guilherme.silveira"/>
    <x v="166"/>
    <n v="49653236"/>
    <m/>
    <m/>
    <n v="43064"/>
    <m/>
    <d v="2018-01-05T00:00:00"/>
    <n v="222"/>
    <x v="170"/>
    <x v="170"/>
    <n v="4408"/>
    <n v="220"/>
    <n v="745.92000000000007"/>
    <x v="1"/>
    <x v="1"/>
    <x v="1"/>
    <s v="Efetivo"/>
    <s v="N"/>
    <s v="Gerente"/>
    <s v="TKT2920-WKM"/>
    <n v="147"/>
    <n v="42"/>
    <m/>
    <n v="82"/>
    <m/>
    <m/>
    <s v="545"/>
  </r>
  <r>
    <n v="172"/>
    <n v="280833936"/>
    <x v="171"/>
    <n v="3887"/>
    <x v="1"/>
    <x v="171"/>
    <s v="luis.guimarães"/>
    <x v="167"/>
    <n v="47975204"/>
    <m/>
    <m/>
    <n v="40763"/>
    <m/>
    <s v=""/>
    <n v="247"/>
    <x v="171"/>
    <x v="171"/>
    <n v="4618.4000000000005"/>
    <n v="198"/>
    <n v="829.92000000000007"/>
    <x v="17"/>
    <x v="2"/>
    <x v="4"/>
    <s v="Terceiro"/>
    <s v="N"/>
    <s v="RH"/>
    <s v="RCH3090-JTB"/>
    <n v="129"/>
    <n v="41"/>
    <m/>
    <n v="17"/>
    <m/>
    <m/>
    <s v="011"/>
  </r>
  <r>
    <n v="173"/>
    <n v="768460080"/>
    <x v="172"/>
    <n v="4760"/>
    <x v="0"/>
    <x v="172"/>
    <s v="thiago.araujo"/>
    <x v="168"/>
    <n v="42683631"/>
    <m/>
    <m/>
    <n v="40174"/>
    <m/>
    <s v=""/>
    <n v="197"/>
    <x v="172"/>
    <x v="172"/>
    <n v="3605.8"/>
    <n v="176"/>
    <n v="661.92000000000007"/>
    <x v="11"/>
    <x v="3"/>
    <x v="4"/>
    <s v="Terceiro"/>
    <s v="N"/>
    <s v="RH"/>
    <s v="HZB6579-RGD"/>
    <n v="106"/>
    <n v="35"/>
    <m/>
    <n v="120"/>
    <m/>
    <m/>
    <s v="011"/>
  </r>
  <r>
    <n v="174"/>
    <n v="127317401"/>
    <x v="173"/>
    <n v="7951"/>
    <x v="0"/>
    <x v="173"/>
    <s v="daniel.xavier"/>
    <x v="169"/>
    <n v="44325748"/>
    <m/>
    <m/>
    <n v="39145"/>
    <m/>
    <s v=""/>
    <n v="201"/>
    <x v="173"/>
    <x v="173"/>
    <n v="2121.6"/>
    <n v="176"/>
    <n v="675.36"/>
    <x v="17"/>
    <x v="2"/>
    <x v="4"/>
    <s v="Terceiro"/>
    <s v="N"/>
    <s v="RH"/>
    <s v="ROY4005-NPY"/>
    <n v="82"/>
    <n v="46"/>
    <m/>
    <n v="102"/>
    <m/>
    <m/>
    <s v="011"/>
  </r>
  <r>
    <n v="175"/>
    <n v="129739629"/>
    <x v="174"/>
    <n v="2739"/>
    <x v="0"/>
    <x v="174"/>
    <s v="giovana.marinho"/>
    <x v="170"/>
    <n v="38509099"/>
    <m/>
    <m/>
    <n v="42490"/>
    <m/>
    <d v="2018-01-05T00:00:00"/>
    <n v="208"/>
    <x v="174"/>
    <x v="174"/>
    <n v="2522.4"/>
    <n v="198"/>
    <n v="698.88"/>
    <x v="16"/>
    <x v="4"/>
    <x v="0"/>
    <s v="Efetivo"/>
    <s v="S"/>
    <s v="RH"/>
    <s v="XVF6812-OWK"/>
    <n v="24"/>
    <n v="14"/>
    <m/>
    <n v="96"/>
    <m/>
    <m/>
    <s v="010"/>
  </r>
  <r>
    <n v="176"/>
    <n v="901569302"/>
    <x v="175"/>
    <n v="2358"/>
    <x v="0"/>
    <x v="175"/>
    <s v="eduarda.mello"/>
    <x v="171"/>
    <n v="37663368"/>
    <m/>
    <m/>
    <n v="35921"/>
    <m/>
    <s v=""/>
    <n v="240"/>
    <x v="175"/>
    <x v="175"/>
    <n v="1347.4"/>
    <n v="198"/>
    <n v="806.4"/>
    <x v="6"/>
    <x v="2"/>
    <x v="3"/>
    <s v="Terceiro"/>
    <s v="N"/>
    <s v="RH"/>
    <s v="NPJ7823-UTP"/>
    <n v="104"/>
    <n v="40"/>
    <m/>
    <n v="71"/>
    <m/>
    <m/>
    <s v="322"/>
  </r>
  <r>
    <n v="177"/>
    <n v="587762767"/>
    <x v="176"/>
    <n v="3572"/>
    <x v="1"/>
    <x v="176"/>
    <s v="pedro.alcoforado"/>
    <x v="172"/>
    <n v="29861722"/>
    <m/>
    <m/>
    <n v="37037"/>
    <m/>
    <s v=""/>
    <n v="225"/>
    <x v="176"/>
    <x v="176"/>
    <n v="1530.2"/>
    <n v="198"/>
    <n v="756"/>
    <x v="16"/>
    <x v="4"/>
    <x v="0"/>
    <s v="Efetivo"/>
    <s v="S"/>
    <s v="RH"/>
    <s v="BJM5620-OAY"/>
    <n v="21"/>
    <n v="36"/>
    <m/>
    <n v="50"/>
    <m/>
    <m/>
    <s v="010"/>
  </r>
  <r>
    <n v="178"/>
    <n v="849377719"/>
    <x v="177"/>
    <n v="5686"/>
    <x v="1"/>
    <x v="177"/>
    <s v="wesley.baptista"/>
    <x v="173"/>
    <n v="20525838"/>
    <m/>
    <m/>
    <n v="34046"/>
    <m/>
    <s v=""/>
    <n v="163"/>
    <x v="177"/>
    <x v="177"/>
    <n v="2291.4"/>
    <n v="220"/>
    <n v="547.67999999999995"/>
    <x v="22"/>
    <x v="4"/>
    <x v="3"/>
    <s v="Efetivo"/>
    <s v="S"/>
    <s v="Diretoria"/>
    <s v="HEN8926-UBF"/>
    <n v="81"/>
    <n v="43"/>
    <m/>
    <n v="84"/>
    <m/>
    <m/>
    <s v="322"/>
  </r>
  <r>
    <n v="179"/>
    <n v="441428628"/>
    <x v="178"/>
    <n v="1134"/>
    <x v="0"/>
    <x v="178"/>
    <s v="caio.meirelles"/>
    <x v="174"/>
    <n v="36328920"/>
    <m/>
    <m/>
    <n v="38645"/>
    <m/>
    <s v=""/>
    <n v="196"/>
    <x v="178"/>
    <x v="178"/>
    <n v="2565.4"/>
    <n v="242"/>
    <n v="658.56"/>
    <x v="10"/>
    <x v="3"/>
    <x v="1"/>
    <s v="Terceiro"/>
    <s v="N"/>
    <s v="RH"/>
    <s v="ZCG5229-RHX"/>
    <n v="91"/>
    <n v="20"/>
    <m/>
    <n v="31"/>
    <m/>
    <m/>
    <s v="545"/>
  </r>
  <r>
    <n v="180"/>
    <n v="413286801"/>
    <x v="179"/>
    <n v="6277"/>
    <x v="0"/>
    <x v="179"/>
    <s v="filipe.tabet"/>
    <x v="175"/>
    <n v="20016798"/>
    <m/>
    <m/>
    <n v="42782"/>
    <m/>
    <s v=""/>
    <n v="199"/>
    <x v="179"/>
    <x v="179"/>
    <n v="1573"/>
    <n v="198"/>
    <n v="668.64"/>
    <x v="1"/>
    <x v="1"/>
    <x v="1"/>
    <s v="Efetivo"/>
    <s v="N"/>
    <s v="Gerente"/>
    <s v="LVN3505-WHZ"/>
    <n v="43"/>
    <n v="11"/>
    <m/>
    <n v="98"/>
    <m/>
    <m/>
    <s v="545"/>
  </r>
  <r>
    <n v="181"/>
    <n v="317730626"/>
    <x v="180"/>
    <n v="5003"/>
    <x v="1"/>
    <x v="180"/>
    <s v="tiago.júnior"/>
    <x v="176"/>
    <n v="22102216"/>
    <m/>
    <m/>
    <n v="41318"/>
    <m/>
    <s v=""/>
    <n v="198"/>
    <x v="180"/>
    <x v="180"/>
    <n v="455.40000000000003"/>
    <n v="264"/>
    <n v="665.28000000000009"/>
    <x v="4"/>
    <x v="2"/>
    <x v="0"/>
    <s v="Terceiro"/>
    <s v="N"/>
    <s v="RH"/>
    <s v="AGJ3799-JRR"/>
    <n v="143"/>
    <n v="30"/>
    <m/>
    <n v="167"/>
    <m/>
    <m/>
    <s v="010"/>
  </r>
  <r>
    <n v="182"/>
    <n v="645860479"/>
    <x v="181"/>
    <n v="5153"/>
    <x v="0"/>
    <x v="181"/>
    <s v="joāo.ursulino"/>
    <x v="177"/>
    <n v="25367975"/>
    <m/>
    <m/>
    <n v="42445"/>
    <m/>
    <s v=""/>
    <n v="199"/>
    <x v="181"/>
    <x v="181"/>
    <n v="1340.6000000000001"/>
    <n v="220"/>
    <n v="668.64"/>
    <x v="6"/>
    <x v="2"/>
    <x v="3"/>
    <s v="Terceiro"/>
    <s v="N"/>
    <s v="RH"/>
    <s v="HPN5936-XOD"/>
    <n v="111"/>
    <n v="49"/>
    <m/>
    <n v="30"/>
    <m/>
    <m/>
    <s v="322"/>
  </r>
  <r>
    <n v="183"/>
    <n v="477303328"/>
    <x v="182"/>
    <n v="3370"/>
    <x v="0"/>
    <x v="182"/>
    <s v="jaqueline.menezes"/>
    <x v="178"/>
    <n v="20599949"/>
    <m/>
    <m/>
    <n v="41394"/>
    <m/>
    <s v=""/>
    <n v="161"/>
    <x v="182"/>
    <x v="182"/>
    <n v="4617.4000000000005"/>
    <n v="242"/>
    <n v="540.96"/>
    <x v="4"/>
    <x v="2"/>
    <x v="0"/>
    <s v="Terceiro"/>
    <s v="N"/>
    <s v="RH"/>
    <s v="QJR6923-SEZ"/>
    <n v="41"/>
    <n v="20"/>
    <m/>
    <n v="107"/>
    <m/>
    <m/>
    <s v="010"/>
  </r>
  <r>
    <n v="184"/>
    <n v="790442694"/>
    <x v="183"/>
    <n v="6816"/>
    <x v="1"/>
    <x v="183"/>
    <s v="paula.gomes"/>
    <x v="179"/>
    <n v="47969729"/>
    <m/>
    <m/>
    <n v="33041"/>
    <m/>
    <s v=""/>
    <n v="214"/>
    <x v="183"/>
    <x v="183"/>
    <n v="1981.2"/>
    <n v="176"/>
    <n v="719.04"/>
    <x v="17"/>
    <x v="2"/>
    <x v="4"/>
    <s v="Terceiro"/>
    <s v="N"/>
    <s v="RH"/>
    <s v="TFK3048-IZZ"/>
    <n v="20"/>
    <n v="49"/>
    <m/>
    <n v="161"/>
    <m/>
    <m/>
    <s v="011"/>
  </r>
  <r>
    <n v="185"/>
    <n v="267462900"/>
    <x v="184"/>
    <n v="5681"/>
    <x v="0"/>
    <x v="184"/>
    <s v="clarissa.ferreira"/>
    <x v="180"/>
    <n v="41615356"/>
    <m/>
    <m/>
    <n v="41510"/>
    <m/>
    <s v=""/>
    <n v="198"/>
    <x v="184"/>
    <x v="184"/>
    <n v="2078.8000000000002"/>
    <n v="286"/>
    <n v="665.28000000000009"/>
    <x v="2"/>
    <x v="1"/>
    <x v="2"/>
    <s v="Efetivo"/>
    <s v="N"/>
    <s v="Gerente"/>
    <s v="XDN5081-OLZ"/>
    <n v="49"/>
    <n v="41"/>
    <m/>
    <n v="187"/>
    <m/>
    <m/>
    <s v="213"/>
  </r>
  <r>
    <n v="186"/>
    <n v="758845282"/>
    <x v="185"/>
    <n v="2997"/>
    <x v="1"/>
    <x v="185"/>
    <s v="raíza.barbosa"/>
    <x v="181"/>
    <n v="23929005"/>
    <m/>
    <m/>
    <n v="42762"/>
    <m/>
    <s v=""/>
    <n v="223"/>
    <x v="185"/>
    <x v="185"/>
    <n v="3114.6000000000004"/>
    <n v="220"/>
    <n v="749.28000000000009"/>
    <x v="3"/>
    <x v="2"/>
    <x v="2"/>
    <s v="Terceiro"/>
    <s v="N"/>
    <s v="RH"/>
    <s v="MFK5498-ODC"/>
    <n v="80"/>
    <n v="23"/>
    <m/>
    <n v="189"/>
    <m/>
    <m/>
    <s v="213"/>
  </r>
  <r>
    <n v="187"/>
    <n v="213851979"/>
    <x v="186"/>
    <n v="7878"/>
    <x v="0"/>
    <x v="186"/>
    <s v="guilherme.delgado"/>
    <x v="182"/>
    <n v="28490837"/>
    <m/>
    <m/>
    <n v="37529"/>
    <m/>
    <s v=""/>
    <n v="209"/>
    <x v="186"/>
    <x v="186"/>
    <n v="2907.2000000000003"/>
    <n v="176"/>
    <n v="702.24"/>
    <x v="2"/>
    <x v="1"/>
    <x v="2"/>
    <s v="Efetivo"/>
    <s v="N"/>
    <s v="Gerente"/>
    <s v="AVA5838-JSB"/>
    <n v="84"/>
    <n v="30"/>
    <m/>
    <n v="105"/>
    <m/>
    <m/>
    <s v="213"/>
  </r>
  <r>
    <n v="188"/>
    <n v="299487558"/>
    <x v="187"/>
    <n v="5113"/>
    <x v="1"/>
    <x v="187"/>
    <s v="bruna.serva"/>
    <x v="183"/>
    <n v="40319896"/>
    <m/>
    <m/>
    <n v="37558"/>
    <m/>
    <s v=""/>
    <n v="223"/>
    <x v="187"/>
    <x v="187"/>
    <n v="273.40000000000003"/>
    <n v="198"/>
    <n v="749.28000000000009"/>
    <x v="14"/>
    <x v="3"/>
    <x v="3"/>
    <s v="Terceiro"/>
    <s v="N"/>
    <s v="RH"/>
    <s v="WED8730-LDO"/>
    <n v="62"/>
    <n v="34"/>
    <m/>
    <n v="66"/>
    <m/>
    <m/>
    <s v="322"/>
  </r>
  <r>
    <n v="189"/>
    <n v="665722840"/>
    <x v="188"/>
    <n v="6329"/>
    <x v="1"/>
    <x v="188"/>
    <s v="rafael.carrera"/>
    <x v="184"/>
    <n v="40999434"/>
    <m/>
    <m/>
    <n v="42803"/>
    <m/>
    <s v=""/>
    <n v="235"/>
    <x v="188"/>
    <x v="188"/>
    <n v="4355.2"/>
    <n v="308"/>
    <n v="789.6"/>
    <x v="18"/>
    <x v="1"/>
    <x v="0"/>
    <s v="Efetivo"/>
    <s v="N"/>
    <s v="Gerente"/>
    <s v="CLB4858-NMF"/>
    <n v="77"/>
    <n v="2"/>
    <m/>
    <n v="172"/>
    <m/>
    <m/>
    <s v="010"/>
  </r>
  <r>
    <n v="190"/>
    <n v="252066743"/>
    <x v="189"/>
    <n v="7057"/>
    <x v="0"/>
    <x v="189"/>
    <s v="leonardo.paula"/>
    <x v="185"/>
    <n v="39159345"/>
    <m/>
    <m/>
    <n v="41418"/>
    <m/>
    <s v=""/>
    <n v="210"/>
    <x v="189"/>
    <x v="189"/>
    <n v="2174"/>
    <n v="198"/>
    <n v="705.6"/>
    <x v="1"/>
    <x v="1"/>
    <x v="1"/>
    <s v="Efetivo"/>
    <s v="N"/>
    <s v="Gerente"/>
    <s v="LFS5871-CZP"/>
    <n v="48"/>
    <n v="16"/>
    <m/>
    <n v="145"/>
    <m/>
    <m/>
    <s v="545"/>
  </r>
  <r>
    <n v="191"/>
    <n v="131440575"/>
    <x v="190"/>
    <n v="5878"/>
    <x v="1"/>
    <x v="190"/>
    <s v="rômulo.knudsen"/>
    <x v="186"/>
    <n v="39717755"/>
    <m/>
    <m/>
    <n v="42479"/>
    <m/>
    <s v=""/>
    <n v="190"/>
    <x v="190"/>
    <x v="190"/>
    <n v="2891.8"/>
    <n v="242"/>
    <n v="638.4"/>
    <x v="15"/>
    <x v="2"/>
    <x v="1"/>
    <s v="Terceiro"/>
    <s v="N"/>
    <s v="RH"/>
    <s v="JLJ4704-CMD"/>
    <n v="101"/>
    <n v="33"/>
    <m/>
    <n v="141"/>
    <m/>
    <m/>
    <s v="545"/>
  </r>
  <r>
    <n v="192"/>
    <n v="338808621"/>
    <x v="191"/>
    <n v="4294"/>
    <x v="1"/>
    <x v="191"/>
    <s v="bernard.mello"/>
    <x v="187"/>
    <n v="45598482"/>
    <m/>
    <m/>
    <n v="40828"/>
    <m/>
    <s v=""/>
    <n v="151"/>
    <x v="191"/>
    <x v="191"/>
    <n v="2193.4"/>
    <n v="308"/>
    <n v="507.36"/>
    <x v="12"/>
    <x v="4"/>
    <x v="4"/>
    <s v="Efetivo"/>
    <s v="S"/>
    <s v="Diretoria"/>
    <s v="TLF4916-KLN"/>
    <n v="129"/>
    <n v="19"/>
    <m/>
    <n v="177"/>
    <m/>
    <m/>
    <s v="011"/>
  </r>
  <r>
    <n v="193"/>
    <n v="797241360"/>
    <x v="192"/>
    <n v="5634"/>
    <x v="0"/>
    <x v="192"/>
    <s v="eduardo.hirose"/>
    <x v="188"/>
    <n v="43419653"/>
    <m/>
    <m/>
    <n v="42355"/>
    <m/>
    <s v=""/>
    <n v="217"/>
    <x v="192"/>
    <x v="192"/>
    <n v="2376.4"/>
    <n v="220"/>
    <n v="729.12"/>
    <x v="18"/>
    <x v="1"/>
    <x v="0"/>
    <s v="Efetivo"/>
    <s v="N"/>
    <s v="Gerente"/>
    <s v="QYD6474-SVO"/>
    <n v="145"/>
    <n v="22"/>
    <m/>
    <n v="190"/>
    <m/>
    <m/>
    <s v="010"/>
  </r>
  <r>
    <n v="194"/>
    <n v="381704808"/>
    <x v="193"/>
    <n v="4854"/>
    <x v="0"/>
    <x v="193"/>
    <s v="ulisses.lima"/>
    <x v="189"/>
    <n v="32019941"/>
    <m/>
    <m/>
    <n v="38691"/>
    <m/>
    <s v=""/>
    <n v="213"/>
    <x v="193"/>
    <x v="193"/>
    <n v="3418.6000000000004"/>
    <n v="308"/>
    <n v="715.68"/>
    <x v="13"/>
    <x v="0"/>
    <x v="2"/>
    <s v="Efetivo"/>
    <s v="S"/>
    <s v="Diretoria"/>
    <s v="WHR9369-SCB"/>
    <n v="122"/>
    <n v="44"/>
    <m/>
    <n v="175"/>
    <m/>
    <m/>
    <s v="213"/>
  </r>
  <r>
    <n v="195"/>
    <n v="754379853"/>
    <x v="194"/>
    <n v="4980"/>
    <x v="1"/>
    <x v="194"/>
    <s v="adelino.werneck"/>
    <x v="190"/>
    <n v="24023429"/>
    <m/>
    <m/>
    <n v="42117"/>
    <m/>
    <s v=""/>
    <n v="185"/>
    <x v="194"/>
    <x v="194"/>
    <n v="1167"/>
    <n v="220"/>
    <n v="621.6"/>
    <x v="7"/>
    <x v="3"/>
    <x v="2"/>
    <s v="Terceiro"/>
    <s v="N"/>
    <s v="RH"/>
    <s v="CIY4932-WDJ"/>
    <n v="47"/>
    <n v="47"/>
    <m/>
    <n v="123"/>
    <m/>
    <m/>
    <s v="213"/>
  </r>
  <r>
    <n v="196"/>
    <n v="633098659"/>
    <x v="195"/>
    <n v="1806"/>
    <x v="0"/>
    <x v="195"/>
    <s v="marina.meira"/>
    <x v="191"/>
    <n v="21047459"/>
    <m/>
    <m/>
    <n v="43062"/>
    <m/>
    <s v=""/>
    <n v="240"/>
    <x v="195"/>
    <x v="195"/>
    <n v="2930.4"/>
    <n v="242"/>
    <n v="806.4"/>
    <x v="15"/>
    <x v="2"/>
    <x v="1"/>
    <s v="Terceiro"/>
    <s v="N"/>
    <s v="RH"/>
    <s v="QYT4352-WHH"/>
    <n v="139"/>
    <n v="55"/>
    <m/>
    <n v="112"/>
    <m/>
    <m/>
    <s v="545"/>
  </r>
  <r>
    <n v="197"/>
    <n v="653306592"/>
    <x v="196"/>
    <n v="3910"/>
    <x v="0"/>
    <x v="196"/>
    <s v="marina.godoy"/>
    <x v="192"/>
    <n v="20887138"/>
    <m/>
    <m/>
    <n v="38114"/>
    <m/>
    <s v=""/>
    <n v="161"/>
    <x v="196"/>
    <x v="196"/>
    <n v="1645.8000000000002"/>
    <n v="264"/>
    <n v="540.96"/>
    <x v="6"/>
    <x v="2"/>
    <x v="3"/>
    <s v="Terceiro"/>
    <s v="N"/>
    <s v="RH"/>
    <s v="NOE5007-ZQR"/>
    <n v="93"/>
    <n v="1"/>
    <m/>
    <n v="80"/>
    <m/>
    <m/>
    <s v="322"/>
  </r>
  <r>
    <n v="198"/>
    <n v="911451272"/>
    <x v="197"/>
    <n v="1914"/>
    <x v="1"/>
    <x v="197"/>
    <s v="beatriz.ferreira"/>
    <x v="193"/>
    <n v="33679561"/>
    <m/>
    <m/>
    <n v="40299"/>
    <m/>
    <s v=""/>
    <n v="187"/>
    <x v="197"/>
    <x v="197"/>
    <n v="3560.8"/>
    <n v="154"/>
    <n v="628.32000000000005"/>
    <x v="5"/>
    <x v="0"/>
    <x v="3"/>
    <s v="Efetivo"/>
    <s v="S"/>
    <s v="Diretoria"/>
    <s v="UWC7318-WGF"/>
    <n v="52"/>
    <n v="4"/>
    <m/>
    <n v="64"/>
    <m/>
    <m/>
    <s v="322"/>
  </r>
  <r>
    <n v="199"/>
    <n v="758327088"/>
    <x v="198"/>
    <n v="7619"/>
    <x v="1"/>
    <x v="198"/>
    <s v="pedro.kelly"/>
    <x v="194"/>
    <n v="24242974"/>
    <m/>
    <m/>
    <n v="38506"/>
    <m/>
    <s v=""/>
    <n v="241"/>
    <x v="198"/>
    <x v="198"/>
    <n v="2546"/>
    <n v="242"/>
    <n v="809.76"/>
    <x v="2"/>
    <x v="1"/>
    <x v="2"/>
    <s v="Efetivo"/>
    <s v="N"/>
    <s v="Gerente"/>
    <s v="BLO2663-MNF"/>
    <n v="59"/>
    <n v="12"/>
    <m/>
    <n v="54"/>
    <m/>
    <m/>
    <s v="213"/>
  </r>
  <r>
    <n v="200"/>
    <n v="732582295"/>
    <x v="199"/>
    <n v="6305"/>
    <x v="1"/>
    <x v="199"/>
    <s v="leticia.orichio"/>
    <x v="195"/>
    <n v="20277009"/>
    <m/>
    <m/>
    <n v="41443"/>
    <m/>
    <s v=""/>
    <n v="241"/>
    <x v="199"/>
    <x v="199"/>
    <n v="4989.8"/>
    <n v="308"/>
    <n v="809.76"/>
    <x v="17"/>
    <x v="2"/>
    <x v="4"/>
    <s v="Terceiro"/>
    <s v="N"/>
    <s v="RH"/>
    <s v="UBH1373-WRL"/>
    <n v="113"/>
    <n v="13"/>
    <m/>
    <n v="134"/>
    <m/>
    <m/>
    <s v="011"/>
  </r>
  <r>
    <n v="201"/>
    <n v="520865497"/>
    <x v="200"/>
    <n v="4460"/>
    <x v="1"/>
    <x v="200"/>
    <s v="julia.nascimento"/>
    <x v="196"/>
    <n v="34188443"/>
    <m/>
    <m/>
    <n v="36697"/>
    <m/>
    <s v=""/>
    <n v="161"/>
    <x v="200"/>
    <x v="200"/>
    <n v="1370.8000000000002"/>
    <n v="286"/>
    <n v="540.96"/>
    <x v="3"/>
    <x v="2"/>
    <x v="2"/>
    <s v="Terceiro"/>
    <s v="N"/>
    <s v="RH"/>
    <s v="OAJ2936-VJJ"/>
    <n v="131"/>
    <n v="33"/>
    <m/>
    <n v="101"/>
    <m/>
    <m/>
    <s v="213"/>
  </r>
  <r>
    <n v="202"/>
    <n v="795257464"/>
    <x v="201"/>
    <n v="1854"/>
    <x v="0"/>
    <x v="201"/>
    <s v="leandro.coutinho"/>
    <x v="197"/>
    <n v="49991492"/>
    <m/>
    <m/>
    <n v="41247"/>
    <m/>
    <s v=""/>
    <n v="158"/>
    <x v="201"/>
    <x v="201"/>
    <n v="4374"/>
    <n v="286"/>
    <n v="530.88"/>
    <x v="19"/>
    <x v="1"/>
    <x v="4"/>
    <s v="Efetivo"/>
    <s v="N"/>
    <s v="Gerente"/>
    <s v="NUO2284-DXQ"/>
    <n v="64"/>
    <n v="25"/>
    <m/>
    <n v="56"/>
    <m/>
    <m/>
    <s v="011"/>
  </r>
  <r>
    <n v="203"/>
    <n v="691637853"/>
    <x v="202"/>
    <n v="5713"/>
    <x v="1"/>
    <x v="202"/>
    <s v="isabella.alves"/>
    <x v="198"/>
    <n v="33303875"/>
    <m/>
    <m/>
    <n v="42460"/>
    <m/>
    <s v=""/>
    <n v="204"/>
    <x v="202"/>
    <x v="202"/>
    <n v="4094"/>
    <n v="286"/>
    <n v="685.44"/>
    <x v="12"/>
    <x v="4"/>
    <x v="4"/>
    <s v="Efetivo"/>
    <s v="S"/>
    <s v="Diretoria"/>
    <s v="QCK3792-DLU"/>
    <n v="38"/>
    <n v="60"/>
    <m/>
    <n v="43"/>
    <m/>
    <m/>
    <s v="011"/>
  </r>
  <r>
    <n v="204"/>
    <n v="615666412"/>
    <x v="203"/>
    <n v="1131"/>
    <x v="1"/>
    <x v="203"/>
    <s v="tiago.pedrosa"/>
    <x v="199"/>
    <n v="35754384"/>
    <m/>
    <m/>
    <n v="37557"/>
    <m/>
    <s v=""/>
    <n v="159"/>
    <x v="203"/>
    <x v="203"/>
    <n v="4882"/>
    <n v="176"/>
    <n v="534.24"/>
    <x v="14"/>
    <x v="3"/>
    <x v="3"/>
    <s v="Terceiro"/>
    <s v="N"/>
    <s v="RH"/>
    <s v="COC7285-VSZ"/>
    <n v="36"/>
    <n v="48"/>
    <m/>
    <n v="100"/>
    <m/>
    <m/>
    <s v="322"/>
  </r>
  <r>
    <n v="205"/>
    <n v="382846456"/>
    <x v="204"/>
    <n v="7682"/>
    <x v="0"/>
    <x v="204"/>
    <s v="nathalia.oliveira"/>
    <x v="200"/>
    <n v="24969851"/>
    <m/>
    <m/>
    <n v="39465"/>
    <m/>
    <s v=""/>
    <n v="241"/>
    <x v="204"/>
    <x v="204"/>
    <n v="3807"/>
    <n v="198"/>
    <n v="809.76"/>
    <x v="10"/>
    <x v="3"/>
    <x v="1"/>
    <s v="Terceiro"/>
    <s v="N"/>
    <s v="RH"/>
    <s v="OPS1714-LAP"/>
    <n v="117"/>
    <n v="26"/>
    <m/>
    <n v="118"/>
    <m/>
    <m/>
    <s v="545"/>
  </r>
  <r>
    <n v="206"/>
    <n v="622070086"/>
    <x v="205"/>
    <n v="1849"/>
    <x v="1"/>
    <x v="205"/>
    <s v="manuela.brum"/>
    <x v="201"/>
    <n v="39914696"/>
    <m/>
    <m/>
    <n v="40568"/>
    <m/>
    <d v="2017-02-21T00:00:00"/>
    <n v="235"/>
    <x v="205"/>
    <x v="205"/>
    <n v="696"/>
    <n v="198"/>
    <n v="789.6"/>
    <x v="20"/>
    <x v="3"/>
    <x v="0"/>
    <s v="Terceiro"/>
    <s v="N"/>
    <s v="RH"/>
    <s v="BKJ2648-NUA"/>
    <n v="136"/>
    <n v="46"/>
    <m/>
    <n v="52"/>
    <m/>
    <m/>
    <s v="010"/>
  </r>
  <r>
    <n v="207"/>
    <n v="622222189"/>
    <x v="206"/>
    <n v="3870"/>
    <x v="0"/>
    <x v="206"/>
    <s v="eduardo.luz"/>
    <x v="202"/>
    <n v="32954078"/>
    <m/>
    <m/>
    <n v="38007"/>
    <m/>
    <s v=""/>
    <n v="203"/>
    <x v="206"/>
    <x v="206"/>
    <n v="2845.6000000000004"/>
    <n v="220"/>
    <n v="682.07999999999993"/>
    <x v="15"/>
    <x v="2"/>
    <x v="1"/>
    <s v="Terceiro"/>
    <s v="N"/>
    <s v="RH"/>
    <s v="KBE8888-ZZT"/>
    <n v="85"/>
    <n v="9"/>
    <m/>
    <n v="113"/>
    <m/>
    <m/>
    <s v="545"/>
  </r>
  <r>
    <n v="208"/>
    <n v="797128823"/>
    <x v="207"/>
    <n v="1326"/>
    <x v="1"/>
    <x v="207"/>
    <s v="matheus.marques"/>
    <x v="203"/>
    <n v="45580494"/>
    <m/>
    <m/>
    <n v="41526"/>
    <m/>
    <s v=""/>
    <n v="155"/>
    <x v="207"/>
    <x v="207"/>
    <n v="2609.8000000000002"/>
    <n v="154"/>
    <n v="520.80000000000007"/>
    <x v="3"/>
    <x v="2"/>
    <x v="2"/>
    <s v="Terceiro"/>
    <s v="N"/>
    <s v="RH"/>
    <s v="PRV3676-YLK"/>
    <n v="98"/>
    <n v="60"/>
    <m/>
    <n v="154"/>
    <m/>
    <m/>
    <s v="213"/>
  </r>
  <r>
    <n v="209"/>
    <n v="121855587"/>
    <x v="208"/>
    <n v="4993"/>
    <x v="1"/>
    <x v="208"/>
    <s v="ana.assis"/>
    <x v="204"/>
    <n v="31597586"/>
    <m/>
    <m/>
    <n v="42393"/>
    <m/>
    <s v=""/>
    <n v="249"/>
    <x v="208"/>
    <x v="208"/>
    <n v="1504"/>
    <n v="154"/>
    <n v="836.64"/>
    <x v="11"/>
    <x v="3"/>
    <x v="4"/>
    <s v="Terceiro"/>
    <s v="N"/>
    <s v="RH"/>
    <s v="ZKR8311-MJP"/>
    <n v="33"/>
    <n v="35"/>
    <m/>
    <n v="143"/>
    <m/>
    <m/>
    <s v="011"/>
  </r>
  <r>
    <n v="210"/>
    <n v="819179412"/>
    <x v="209"/>
    <n v="1656"/>
    <x v="0"/>
    <x v="209"/>
    <s v="gabriel.viana"/>
    <x v="205"/>
    <n v="21366453"/>
    <m/>
    <m/>
    <n v="38017"/>
    <m/>
    <s v=""/>
    <n v="218"/>
    <x v="209"/>
    <x v="209"/>
    <n v="3502.8"/>
    <n v="308"/>
    <n v="732.48"/>
    <x v="17"/>
    <x v="2"/>
    <x v="4"/>
    <s v="Terceiro"/>
    <s v="N"/>
    <s v="RH"/>
    <s v="LGM8331-VHI"/>
    <n v="50"/>
    <n v="10"/>
    <m/>
    <n v="187"/>
    <m/>
    <m/>
    <s v="011"/>
  </r>
  <r>
    <n v="211"/>
    <n v="908478392"/>
    <x v="210"/>
    <n v="4270"/>
    <x v="1"/>
    <x v="210"/>
    <s v="thaís.restum"/>
    <x v="206"/>
    <n v="32196705"/>
    <m/>
    <m/>
    <n v="39828"/>
    <m/>
    <s v=""/>
    <n v="152"/>
    <x v="210"/>
    <x v="210"/>
    <n v="850.6"/>
    <n v="286"/>
    <n v="510.71999999999997"/>
    <x v="10"/>
    <x v="3"/>
    <x v="1"/>
    <s v="Terceiro"/>
    <s v="N"/>
    <s v="RH"/>
    <s v="ATE7852-XHX"/>
    <n v="72"/>
    <n v="40"/>
    <m/>
    <n v="143"/>
    <m/>
    <m/>
    <s v="545"/>
  </r>
  <r>
    <n v="212"/>
    <n v="633515952"/>
    <x v="211"/>
    <n v="1477"/>
    <x v="0"/>
    <x v="211"/>
    <s v="douglas.pinto"/>
    <x v="207"/>
    <n v="49499075"/>
    <m/>
    <m/>
    <n v="37342"/>
    <m/>
    <s v=""/>
    <n v="156"/>
    <x v="211"/>
    <x v="211"/>
    <n v="3910.6000000000004"/>
    <n v="308"/>
    <n v="524.16"/>
    <x v="18"/>
    <x v="1"/>
    <x v="0"/>
    <s v="Efetivo"/>
    <s v="N"/>
    <s v="Gerente"/>
    <s v="FXC8175-YBX"/>
    <n v="119"/>
    <n v="13"/>
    <m/>
    <n v="100"/>
    <m/>
    <m/>
    <s v="010"/>
  </r>
  <r>
    <n v="213"/>
    <n v="431047977"/>
    <x v="212"/>
    <n v="7803"/>
    <x v="1"/>
    <x v="212"/>
    <s v="eric.amante"/>
    <x v="208"/>
    <n v="30534816"/>
    <m/>
    <m/>
    <n v="36727"/>
    <m/>
    <s v=""/>
    <n v="161"/>
    <x v="212"/>
    <x v="212"/>
    <n v="4043.4"/>
    <n v="176"/>
    <n v="540.96"/>
    <x v="6"/>
    <x v="2"/>
    <x v="3"/>
    <s v="Terceiro"/>
    <s v="N"/>
    <s v="RH"/>
    <s v="YLH3342-FSN"/>
    <n v="24"/>
    <n v="0"/>
    <m/>
    <n v="113"/>
    <m/>
    <m/>
    <s v="322"/>
  </r>
  <r>
    <n v="214"/>
    <n v="637262985"/>
    <x v="213"/>
    <n v="6515"/>
    <x v="0"/>
    <x v="213"/>
    <s v="marcus.azevedo"/>
    <x v="209"/>
    <n v="45003450"/>
    <m/>
    <m/>
    <n v="39638"/>
    <m/>
    <s v=""/>
    <n v="179"/>
    <x v="213"/>
    <x v="213"/>
    <n v="940.40000000000009"/>
    <n v="242"/>
    <n v="601.44000000000005"/>
    <x v="4"/>
    <x v="2"/>
    <x v="0"/>
    <s v="Terceiro"/>
    <s v="N"/>
    <s v="RH"/>
    <s v="TAO4764-NVQ"/>
    <n v="50"/>
    <n v="16"/>
    <m/>
    <n v="137"/>
    <m/>
    <m/>
    <s v="010"/>
  </r>
  <r>
    <n v="215"/>
    <n v="962953644"/>
    <x v="214"/>
    <n v="5867"/>
    <x v="0"/>
    <x v="214"/>
    <s v="lucas.bach"/>
    <x v="210"/>
    <n v="43572037"/>
    <m/>
    <m/>
    <n v="39826"/>
    <m/>
    <s v=""/>
    <n v="226"/>
    <x v="214"/>
    <x v="214"/>
    <n v="3060.2000000000003"/>
    <n v="286"/>
    <n v="759.36"/>
    <x v="18"/>
    <x v="1"/>
    <x v="0"/>
    <s v="Efetivo"/>
    <s v="N"/>
    <s v="Gerente"/>
    <s v="NVI9354-XHK"/>
    <n v="90"/>
    <n v="30"/>
    <m/>
    <n v="192"/>
    <m/>
    <m/>
    <s v="010"/>
  </r>
  <r>
    <n v="216"/>
    <n v="211252863"/>
    <x v="215"/>
    <n v="1742"/>
    <x v="0"/>
    <x v="215"/>
    <s v="paula.leite"/>
    <x v="211"/>
    <n v="36336491"/>
    <m/>
    <m/>
    <n v="41399"/>
    <m/>
    <s v=""/>
    <n v="178"/>
    <x v="215"/>
    <x v="215"/>
    <n v="2268.4"/>
    <n v="176"/>
    <n v="598.07999999999993"/>
    <x v="17"/>
    <x v="2"/>
    <x v="4"/>
    <s v="Terceiro"/>
    <s v="N"/>
    <s v="RH"/>
    <s v="ELX4796-NFG"/>
    <n v="62"/>
    <n v="40"/>
    <m/>
    <n v="108"/>
    <m/>
    <m/>
    <s v="011"/>
  </r>
  <r>
    <n v="217"/>
    <n v="686353578"/>
    <x v="216"/>
    <n v="5320"/>
    <x v="1"/>
    <x v="216"/>
    <s v="amanda.pessanha"/>
    <x v="212"/>
    <n v="26119834"/>
    <m/>
    <m/>
    <n v="41748"/>
    <m/>
    <s v=""/>
    <n v="230"/>
    <x v="216"/>
    <x v="216"/>
    <n v="3273.6000000000004"/>
    <n v="176"/>
    <n v="772.80000000000007"/>
    <x v="9"/>
    <x v="1"/>
    <x v="3"/>
    <s v="Efetivo"/>
    <s v="N"/>
    <s v="Gerente"/>
    <s v="VMR2392-JTZ"/>
    <n v="27"/>
    <n v="53"/>
    <m/>
    <n v="63"/>
    <m/>
    <m/>
    <s v="322"/>
  </r>
  <r>
    <n v="218"/>
    <n v="485694784"/>
    <x v="217"/>
    <n v="1051"/>
    <x v="1"/>
    <x v="217"/>
    <s v="átila.carvalho"/>
    <x v="213"/>
    <n v="49426801"/>
    <m/>
    <m/>
    <n v="33145"/>
    <m/>
    <s v=""/>
    <n v="150"/>
    <x v="217"/>
    <x v="217"/>
    <n v="684.2"/>
    <n v="220"/>
    <n v="504"/>
    <x v="11"/>
    <x v="3"/>
    <x v="4"/>
    <s v="Terceiro"/>
    <s v="N"/>
    <s v="RH"/>
    <s v="WCE6805-GMM"/>
    <n v="128"/>
    <n v="52"/>
    <m/>
    <n v="107"/>
    <m/>
    <m/>
    <s v="011"/>
  </r>
  <r>
    <n v="219"/>
    <n v="753653710"/>
    <x v="218"/>
    <n v="6526"/>
    <x v="1"/>
    <x v="218"/>
    <s v="gabriel.filho"/>
    <x v="214"/>
    <n v="43114997"/>
    <m/>
    <m/>
    <n v="40230"/>
    <m/>
    <s v=""/>
    <n v="239"/>
    <x v="218"/>
    <x v="218"/>
    <n v="3025.6000000000004"/>
    <n v="242"/>
    <n v="803.04"/>
    <x v="13"/>
    <x v="0"/>
    <x v="2"/>
    <s v="Efetivo"/>
    <s v="S"/>
    <s v="Diretoria"/>
    <s v="EKJ7202-FXR"/>
    <n v="142"/>
    <n v="58"/>
    <m/>
    <n v="56"/>
    <m/>
    <m/>
    <s v="213"/>
  </r>
  <r>
    <n v="220"/>
    <n v="868379858"/>
    <x v="219"/>
    <n v="4477"/>
    <x v="0"/>
    <x v="219"/>
    <s v="gabriela.gômara"/>
    <x v="215"/>
    <n v="35696839"/>
    <m/>
    <m/>
    <n v="36717"/>
    <m/>
    <s v=""/>
    <n v="165"/>
    <x v="219"/>
    <x v="219"/>
    <n v="4391.8"/>
    <n v="264"/>
    <n v="554.4"/>
    <x v="7"/>
    <x v="3"/>
    <x v="2"/>
    <s v="Terceiro"/>
    <s v="N"/>
    <s v="RH"/>
    <s v="TBL7608-VNF"/>
    <n v="21"/>
    <n v="37"/>
    <m/>
    <n v="49"/>
    <m/>
    <m/>
    <s v="213"/>
  </r>
  <r>
    <n v="221"/>
    <n v="455091342"/>
    <x v="220"/>
    <n v="5338"/>
    <x v="0"/>
    <x v="220"/>
    <s v="pedro.rodriguez"/>
    <x v="216"/>
    <n v="29633853"/>
    <m/>
    <m/>
    <n v="42542"/>
    <m/>
    <s v=""/>
    <n v="239"/>
    <x v="220"/>
    <x v="220"/>
    <n v="1945.8000000000002"/>
    <n v="198"/>
    <n v="803.04"/>
    <x v="20"/>
    <x v="3"/>
    <x v="0"/>
    <s v="Terceiro"/>
    <s v="N"/>
    <s v="RH"/>
    <s v="LML1220-LLK"/>
    <n v="134"/>
    <n v="26"/>
    <m/>
    <n v="108"/>
    <m/>
    <m/>
    <s v="010"/>
  </r>
  <r>
    <n v="222"/>
    <n v="271464316"/>
    <x v="221"/>
    <n v="6844"/>
    <x v="0"/>
    <x v="221"/>
    <s v="patricia.matos"/>
    <x v="217"/>
    <n v="41747444"/>
    <m/>
    <m/>
    <n v="42207"/>
    <m/>
    <d v="2018-01-05T00:00:00"/>
    <n v="234"/>
    <x v="221"/>
    <x v="221"/>
    <n v="309.60000000000002"/>
    <n v="154"/>
    <n v="786.24"/>
    <x v="10"/>
    <x v="3"/>
    <x v="1"/>
    <s v="Terceiro"/>
    <s v="N"/>
    <s v="RH"/>
    <s v="OMM9332-WAP"/>
    <n v="64"/>
    <n v="15"/>
    <m/>
    <n v="124"/>
    <m/>
    <m/>
    <s v="545"/>
  </r>
  <r>
    <n v="223"/>
    <n v="385244934"/>
    <x v="222"/>
    <n v="2470"/>
    <x v="0"/>
    <x v="222"/>
    <s v="elvis.macedo"/>
    <x v="218"/>
    <n v="31717649"/>
    <m/>
    <m/>
    <n v="38439"/>
    <m/>
    <s v=""/>
    <n v="223"/>
    <x v="222"/>
    <x v="222"/>
    <n v="2596.8000000000002"/>
    <n v="286"/>
    <n v="749.28000000000009"/>
    <x v="15"/>
    <x v="2"/>
    <x v="1"/>
    <s v="Terceiro"/>
    <s v="N"/>
    <s v="RH"/>
    <s v="QPQ6693-FQR"/>
    <n v="111"/>
    <n v="29"/>
    <m/>
    <n v="171"/>
    <m/>
    <m/>
    <s v="545"/>
  </r>
  <r>
    <n v="224"/>
    <n v="472782524"/>
    <x v="223"/>
    <n v="3076"/>
    <x v="1"/>
    <x v="223"/>
    <s v="diego.limp"/>
    <x v="219"/>
    <n v="44467875"/>
    <m/>
    <m/>
    <n v="42562"/>
    <m/>
    <s v=""/>
    <n v="200"/>
    <x v="223"/>
    <x v="223"/>
    <n v="4769"/>
    <n v="220"/>
    <n v="672"/>
    <x v="11"/>
    <x v="3"/>
    <x v="4"/>
    <s v="Terceiro"/>
    <s v="N"/>
    <s v="RH"/>
    <s v="XRM9217-KFZ"/>
    <n v="31"/>
    <n v="57"/>
    <m/>
    <n v="179"/>
    <m/>
    <m/>
    <s v="011"/>
  </r>
  <r>
    <n v="225"/>
    <n v="984733259"/>
    <x v="224"/>
    <n v="5324"/>
    <x v="1"/>
    <x v="224"/>
    <s v="tatiana.fagundes"/>
    <x v="220"/>
    <n v="22254032"/>
    <m/>
    <m/>
    <n v="41553"/>
    <m/>
    <s v=""/>
    <n v="243"/>
    <x v="224"/>
    <x v="224"/>
    <n v="4132.4000000000005"/>
    <n v="220"/>
    <n v="816.48"/>
    <x v="5"/>
    <x v="0"/>
    <x v="3"/>
    <s v="Efetivo"/>
    <s v="S"/>
    <s v="Diretoria"/>
    <s v="MDP4853-KYP"/>
    <n v="119"/>
    <n v="52"/>
    <m/>
    <n v="61"/>
    <m/>
    <m/>
    <s v="322"/>
  </r>
  <r>
    <n v="226"/>
    <n v="398328205"/>
    <x v="225"/>
    <n v="3592"/>
    <x v="1"/>
    <x v="225"/>
    <s v="cynthia.alvim"/>
    <x v="221"/>
    <n v="34741200"/>
    <m/>
    <m/>
    <n v="37739"/>
    <m/>
    <s v=""/>
    <n v="166"/>
    <x v="225"/>
    <x v="225"/>
    <n v="470.20000000000005"/>
    <n v="242"/>
    <n v="557.76"/>
    <x v="7"/>
    <x v="3"/>
    <x v="2"/>
    <s v="Terceiro"/>
    <s v="N"/>
    <s v="RH"/>
    <s v="NMU9452-VLN"/>
    <n v="26"/>
    <n v="8"/>
    <m/>
    <n v="34"/>
    <m/>
    <m/>
    <s v="213"/>
  </r>
  <r>
    <n v="227"/>
    <n v="607326291"/>
    <x v="226"/>
    <n v="1861"/>
    <x v="0"/>
    <x v="226"/>
    <s v="rômulo.pedrazza"/>
    <x v="222"/>
    <n v="32195895"/>
    <m/>
    <m/>
    <n v="41233"/>
    <m/>
    <s v=""/>
    <n v="230"/>
    <x v="226"/>
    <x v="226"/>
    <n v="4492.4000000000005"/>
    <n v="176"/>
    <n v="772.80000000000007"/>
    <x v="19"/>
    <x v="1"/>
    <x v="4"/>
    <s v="Efetivo"/>
    <s v="N"/>
    <s v="Gerente"/>
    <s v="LRX8711-BCB"/>
    <n v="101"/>
    <n v="39"/>
    <m/>
    <n v="181"/>
    <m/>
    <m/>
    <s v="011"/>
  </r>
  <r>
    <n v="228"/>
    <n v="610389191"/>
    <x v="227"/>
    <n v="3768"/>
    <x v="1"/>
    <x v="227"/>
    <s v="lucas.barbosa"/>
    <x v="223"/>
    <n v="44436582"/>
    <m/>
    <m/>
    <n v="41530"/>
    <m/>
    <d v="2018-01-05T00:00:00"/>
    <n v="217"/>
    <x v="227"/>
    <x v="227"/>
    <n v="1014"/>
    <n v="242"/>
    <n v="729.12"/>
    <x v="9"/>
    <x v="1"/>
    <x v="3"/>
    <s v="Efetivo"/>
    <s v="N"/>
    <s v="Gerente"/>
    <s v="FZD8381-VKP"/>
    <n v="61"/>
    <n v="51"/>
    <m/>
    <n v="74"/>
    <m/>
    <m/>
    <s v="322"/>
  </r>
  <r>
    <n v="229"/>
    <n v="130000942"/>
    <x v="228"/>
    <n v="5063"/>
    <x v="0"/>
    <x v="228"/>
    <s v="carolina.mello"/>
    <x v="224"/>
    <n v="28964228"/>
    <m/>
    <m/>
    <n v="38723"/>
    <m/>
    <s v=""/>
    <n v="217"/>
    <x v="228"/>
    <x v="228"/>
    <n v="4649.6000000000004"/>
    <n v="286"/>
    <n v="729.12"/>
    <x v="10"/>
    <x v="3"/>
    <x v="1"/>
    <s v="Terceiro"/>
    <s v="N"/>
    <s v="RH"/>
    <s v="XIN6699-CGI"/>
    <n v="84"/>
    <n v="2"/>
    <m/>
    <n v="70"/>
    <m/>
    <m/>
    <s v="545"/>
  </r>
  <r>
    <n v="230"/>
    <n v="725666141"/>
    <x v="229"/>
    <n v="2424"/>
    <x v="1"/>
    <x v="229"/>
    <s v="ramon.bittencourt"/>
    <x v="225"/>
    <n v="33629449"/>
    <m/>
    <m/>
    <n v="33842"/>
    <m/>
    <s v=""/>
    <n v="186"/>
    <x v="229"/>
    <x v="229"/>
    <n v="3117.8"/>
    <n v="286"/>
    <n v="624.96"/>
    <x v="18"/>
    <x v="1"/>
    <x v="0"/>
    <s v="Efetivo"/>
    <s v="N"/>
    <s v="Gerente"/>
    <s v="MRX6530-QPI"/>
    <n v="54"/>
    <n v="42"/>
    <m/>
    <n v="139"/>
    <m/>
    <m/>
    <s v="010"/>
  </r>
  <r>
    <n v="231"/>
    <n v="418063615"/>
    <x v="230"/>
    <n v="2386"/>
    <x v="0"/>
    <x v="230"/>
    <s v="nicole.santos"/>
    <x v="226"/>
    <n v="35408848"/>
    <m/>
    <m/>
    <n v="42297"/>
    <m/>
    <s v=""/>
    <n v="163"/>
    <x v="230"/>
    <x v="230"/>
    <n v="3373.8"/>
    <n v="154"/>
    <n v="547.67999999999995"/>
    <x v="23"/>
    <x v="0"/>
    <x v="1"/>
    <s v="Efetivo"/>
    <s v="S"/>
    <s v="Diretoria"/>
    <s v="SFG1415-ZAX"/>
    <n v="34"/>
    <n v="26"/>
    <m/>
    <n v="25"/>
    <m/>
    <m/>
    <s v="545"/>
  </r>
  <r>
    <n v="232"/>
    <n v="921624055"/>
    <x v="231"/>
    <n v="6993"/>
    <x v="1"/>
    <x v="231"/>
    <s v="nathalia.bach"/>
    <x v="227"/>
    <n v="27293893"/>
    <m/>
    <m/>
    <n v="42269"/>
    <m/>
    <d v="2018-01-05T00:00:00"/>
    <n v="152"/>
    <x v="231"/>
    <x v="231"/>
    <n v="4457.2"/>
    <n v="154"/>
    <n v="510.71999999999997"/>
    <x v="6"/>
    <x v="2"/>
    <x v="3"/>
    <s v="Terceiro"/>
    <s v="N"/>
    <s v="RH"/>
    <s v="QHT4347-LXV"/>
    <n v="105"/>
    <n v="26"/>
    <m/>
    <n v="15"/>
    <m/>
    <m/>
    <s v="322"/>
  </r>
  <r>
    <n v="233"/>
    <n v="252585246"/>
    <x v="232"/>
    <n v="6776"/>
    <x v="1"/>
    <x v="232"/>
    <s v="bruno.silva"/>
    <x v="228"/>
    <n v="24097080"/>
    <m/>
    <m/>
    <n v="39827"/>
    <m/>
    <s v=""/>
    <n v="220"/>
    <x v="232"/>
    <x v="232"/>
    <n v="2276.8000000000002"/>
    <n v="198"/>
    <n v="739.19999999999993"/>
    <x v="4"/>
    <x v="2"/>
    <x v="0"/>
    <s v="Terceiro"/>
    <s v="N"/>
    <s v="RH"/>
    <s v="FZI3238-KRL"/>
    <n v="86"/>
    <n v="21"/>
    <m/>
    <n v="113"/>
    <m/>
    <m/>
    <s v="010"/>
  </r>
  <r>
    <n v="234"/>
    <n v="646478878"/>
    <x v="233"/>
    <n v="4311"/>
    <x v="0"/>
    <x v="233"/>
    <s v="maryanna.ferraz"/>
    <x v="229"/>
    <n v="31571800"/>
    <m/>
    <m/>
    <n v="41582"/>
    <m/>
    <s v=""/>
    <n v="155"/>
    <x v="233"/>
    <x v="233"/>
    <n v="4082.2000000000003"/>
    <n v="264"/>
    <n v="520.80000000000007"/>
    <x v="6"/>
    <x v="2"/>
    <x v="3"/>
    <s v="Terceiro"/>
    <s v="N"/>
    <s v="RH"/>
    <s v="XIG2823-MZZ"/>
    <n v="150"/>
    <n v="16"/>
    <m/>
    <n v="36"/>
    <m/>
    <m/>
    <s v="322"/>
  </r>
  <r>
    <n v="235"/>
    <n v="582906251"/>
    <x v="234"/>
    <n v="6940"/>
    <x v="1"/>
    <x v="234"/>
    <s v="luis.morgado"/>
    <x v="230"/>
    <n v="26310355"/>
    <m/>
    <m/>
    <n v="40901"/>
    <m/>
    <d v="2018-01-05T00:00:00"/>
    <n v="183"/>
    <x v="234"/>
    <x v="234"/>
    <n v="1762"/>
    <n v="198"/>
    <n v="614.88"/>
    <x v="18"/>
    <x v="1"/>
    <x v="0"/>
    <s v="Efetivo"/>
    <s v="N"/>
    <s v="Gerente"/>
    <s v="FHT9969-BPQ"/>
    <n v="127"/>
    <n v="52"/>
    <m/>
    <n v="21"/>
    <m/>
    <m/>
    <s v="010"/>
  </r>
  <r>
    <n v="236"/>
    <n v="316788080"/>
    <x v="235"/>
    <n v="1482"/>
    <x v="1"/>
    <x v="235"/>
    <s v="nicole.vaz"/>
    <x v="231"/>
    <n v="30246676"/>
    <m/>
    <m/>
    <n v="35229"/>
    <m/>
    <s v=""/>
    <n v="150"/>
    <x v="235"/>
    <x v="235"/>
    <n v="3574.2000000000003"/>
    <n v="154"/>
    <n v="504"/>
    <x v="8"/>
    <x v="4"/>
    <x v="1"/>
    <s v="Efetivo"/>
    <s v="S"/>
    <s v="Diretoria"/>
    <s v="VOE1043-NCT"/>
    <n v="24"/>
    <n v="50"/>
    <m/>
    <n v="60"/>
    <m/>
    <m/>
    <s v="545"/>
  </r>
  <r>
    <n v="237"/>
    <n v="871167970"/>
    <x v="236"/>
    <n v="5040"/>
    <x v="0"/>
    <x v="236"/>
    <s v="ananda.soares"/>
    <x v="112"/>
    <n v="27492861"/>
    <m/>
    <m/>
    <n v="41843"/>
    <m/>
    <s v=""/>
    <n v="232"/>
    <x v="236"/>
    <x v="236"/>
    <n v="4144.6000000000004"/>
    <n v="286"/>
    <n v="779.52"/>
    <x v="2"/>
    <x v="1"/>
    <x v="2"/>
    <s v="Efetivo"/>
    <s v="N"/>
    <s v="Gerente"/>
    <s v="GXW7594-VTA"/>
    <n v="148"/>
    <n v="44"/>
    <m/>
    <n v="45"/>
    <m/>
    <m/>
    <s v="213"/>
  </r>
  <r>
    <n v="238"/>
    <n v="538427479"/>
    <x v="237"/>
    <n v="7799"/>
    <x v="0"/>
    <x v="237"/>
    <s v="carolina.gusmão"/>
    <x v="232"/>
    <n v="47713889"/>
    <m/>
    <m/>
    <n v="42870"/>
    <m/>
    <d v="2018-01-05T00:00:00"/>
    <n v="213"/>
    <x v="237"/>
    <x v="237"/>
    <n v="1365.4"/>
    <n v="308"/>
    <n v="715.68"/>
    <x v="19"/>
    <x v="1"/>
    <x v="4"/>
    <s v="Efetivo"/>
    <s v="N"/>
    <s v="Gerente"/>
    <s v="PDF3967-JQZ"/>
    <n v="53"/>
    <n v="46"/>
    <m/>
    <n v="2"/>
    <m/>
    <m/>
    <s v="011"/>
  </r>
  <r>
    <n v="239"/>
    <n v="178981169"/>
    <x v="238"/>
    <n v="3623"/>
    <x v="0"/>
    <x v="238"/>
    <s v="pedro.domingos"/>
    <x v="233"/>
    <n v="48644823"/>
    <m/>
    <m/>
    <n v="38854"/>
    <m/>
    <s v=""/>
    <n v="226"/>
    <x v="238"/>
    <x v="238"/>
    <n v="662.80000000000007"/>
    <n v="242"/>
    <n v="759.36"/>
    <x v="9"/>
    <x v="1"/>
    <x v="3"/>
    <s v="Efetivo"/>
    <s v="N"/>
    <s v="Gerente"/>
    <s v="IUU8732-TGE"/>
    <n v="120"/>
    <n v="34"/>
    <m/>
    <n v="22"/>
    <m/>
    <m/>
    <s v="322"/>
  </r>
  <r>
    <n v="240"/>
    <n v="435983446"/>
    <x v="239"/>
    <n v="6688"/>
    <x v="0"/>
    <x v="239"/>
    <s v="ana.santos"/>
    <x v="234"/>
    <n v="21154117"/>
    <m/>
    <m/>
    <n v="39954"/>
    <m/>
    <d v="2018-01-05T00:00:00"/>
    <n v="196"/>
    <x v="239"/>
    <x v="239"/>
    <n v="2264.2000000000003"/>
    <n v="176"/>
    <n v="658.56"/>
    <x v="4"/>
    <x v="2"/>
    <x v="0"/>
    <s v="Terceiro"/>
    <s v="N"/>
    <s v="RH"/>
    <s v="LPF1913-MWR"/>
    <n v="141"/>
    <n v="51"/>
    <m/>
    <n v="168"/>
    <m/>
    <m/>
    <s v="010"/>
  </r>
  <r>
    <n v="241"/>
    <n v="788952836"/>
    <x v="240"/>
    <n v="4917"/>
    <x v="1"/>
    <x v="240"/>
    <s v="tadeu.ferraz"/>
    <x v="235"/>
    <n v="45998524"/>
    <m/>
    <m/>
    <n v="41963"/>
    <m/>
    <s v=""/>
    <n v="246"/>
    <x v="240"/>
    <x v="240"/>
    <n v="3114.4"/>
    <n v="154"/>
    <n v="826.56"/>
    <x v="23"/>
    <x v="0"/>
    <x v="1"/>
    <s v="Efetivo"/>
    <s v="S"/>
    <s v="Diretoria"/>
    <s v="LTW8906-FJU"/>
    <n v="52"/>
    <n v="51"/>
    <m/>
    <n v="102"/>
    <m/>
    <m/>
    <s v="545"/>
  </r>
  <r>
    <n v="242"/>
    <n v="607552422"/>
    <x v="241"/>
    <n v="6039"/>
    <x v="1"/>
    <x v="241"/>
    <s v="paula.mota"/>
    <x v="236"/>
    <n v="24948027"/>
    <m/>
    <m/>
    <n v="43068"/>
    <m/>
    <s v=""/>
    <n v="164"/>
    <x v="241"/>
    <x v="241"/>
    <n v="3926.6000000000004"/>
    <n v="176"/>
    <n v="551.04"/>
    <x v="11"/>
    <x v="3"/>
    <x v="4"/>
    <s v="Terceiro"/>
    <s v="N"/>
    <s v="RH"/>
    <s v="YEW1874-FEF"/>
    <n v="117"/>
    <n v="43"/>
    <m/>
    <n v="28"/>
    <m/>
    <m/>
    <s v="011"/>
  </r>
  <r>
    <n v="243"/>
    <n v="881550456"/>
    <x v="242"/>
    <n v="6151"/>
    <x v="0"/>
    <x v="242"/>
    <s v="juliana.rodrigues"/>
    <x v="237"/>
    <n v="23394423"/>
    <m/>
    <m/>
    <n v="42186"/>
    <m/>
    <s v=""/>
    <n v="173"/>
    <x v="242"/>
    <x v="242"/>
    <n v="1185.8"/>
    <n v="242"/>
    <n v="581.28000000000009"/>
    <x v="9"/>
    <x v="1"/>
    <x v="3"/>
    <s v="Efetivo"/>
    <s v="N"/>
    <s v="Gerente"/>
    <s v="WGI6841-OEE"/>
    <n v="43"/>
    <n v="24"/>
    <m/>
    <n v="15"/>
    <m/>
    <m/>
    <s v="322"/>
  </r>
  <r>
    <n v="244"/>
    <n v="731743704"/>
    <x v="243"/>
    <n v="2505"/>
    <x v="0"/>
    <x v="243"/>
    <s v="felipe.miranda"/>
    <x v="238"/>
    <n v="33804710"/>
    <m/>
    <m/>
    <n v="36305"/>
    <m/>
    <s v=""/>
    <n v="186"/>
    <x v="243"/>
    <x v="243"/>
    <n v="206.4"/>
    <n v="264"/>
    <n v="624.96"/>
    <x v="15"/>
    <x v="2"/>
    <x v="1"/>
    <s v="Terceiro"/>
    <s v="N"/>
    <s v="RH"/>
    <s v="XQI1381-INS"/>
    <n v="63"/>
    <n v="36"/>
    <m/>
    <n v="63"/>
    <m/>
    <m/>
    <s v="545"/>
  </r>
  <r>
    <n v="245"/>
    <n v="465247813"/>
    <x v="244"/>
    <n v="4929"/>
    <x v="1"/>
    <x v="244"/>
    <s v="ana.cunha"/>
    <x v="239"/>
    <n v="31002977"/>
    <m/>
    <m/>
    <n v="34772"/>
    <m/>
    <s v=""/>
    <n v="179"/>
    <x v="244"/>
    <x v="244"/>
    <n v="792"/>
    <n v="220"/>
    <n v="601.44000000000005"/>
    <x v="24"/>
    <x v="0"/>
    <x v="4"/>
    <s v="Efetivo"/>
    <s v="S"/>
    <s v="Diretoria"/>
    <s v="IAL2823-TKS"/>
    <n v="131"/>
    <n v="52"/>
    <m/>
    <n v="18"/>
    <m/>
    <m/>
    <s v="011"/>
  </r>
  <r>
    <n v="246"/>
    <n v="859264176"/>
    <x v="245"/>
    <n v="4882"/>
    <x v="0"/>
    <x v="245"/>
    <s v="joana.guimarães"/>
    <x v="240"/>
    <n v="47379836"/>
    <m/>
    <m/>
    <n v="33825"/>
    <m/>
    <s v=""/>
    <n v="197"/>
    <x v="245"/>
    <x v="245"/>
    <n v="873.6"/>
    <n v="242"/>
    <n v="661.92000000000007"/>
    <x v="18"/>
    <x v="1"/>
    <x v="0"/>
    <s v="Efetivo"/>
    <s v="N"/>
    <s v="Gerente"/>
    <s v="FIA9989-EKR"/>
    <n v="121"/>
    <n v="53"/>
    <m/>
    <n v="189"/>
    <m/>
    <m/>
    <s v="010"/>
  </r>
  <r>
    <n v="247"/>
    <n v="744215664"/>
    <x v="246"/>
    <n v="6262"/>
    <x v="0"/>
    <x v="246"/>
    <s v="lorena.junior"/>
    <x v="241"/>
    <n v="46256189"/>
    <m/>
    <m/>
    <n v="41119"/>
    <m/>
    <d v="2018-01-05T00:00:00"/>
    <n v="214"/>
    <x v="246"/>
    <x v="246"/>
    <n v="838.40000000000009"/>
    <n v="242"/>
    <n v="719.04"/>
    <x v="3"/>
    <x v="2"/>
    <x v="2"/>
    <s v="Terceiro"/>
    <s v="N"/>
    <s v="RH"/>
    <s v="WLZ9413-AGY"/>
    <n v="53"/>
    <n v="28"/>
    <m/>
    <n v="23"/>
    <m/>
    <m/>
    <s v="213"/>
  </r>
  <r>
    <n v="248"/>
    <n v="684337006"/>
    <x v="247"/>
    <n v="3496"/>
    <x v="1"/>
    <x v="247"/>
    <s v="priscila.oliveira"/>
    <x v="242"/>
    <n v="45007080"/>
    <m/>
    <m/>
    <n v="42163"/>
    <m/>
    <s v=""/>
    <n v="186"/>
    <x v="247"/>
    <x v="247"/>
    <n v="2141.4"/>
    <n v="198"/>
    <n v="624.96"/>
    <x v="6"/>
    <x v="2"/>
    <x v="3"/>
    <s v="Terceiro"/>
    <s v="N"/>
    <s v="RH"/>
    <s v="BRI4603-SPO"/>
    <n v="45"/>
    <n v="56"/>
    <m/>
    <n v="198"/>
    <m/>
    <m/>
    <s v="322"/>
  </r>
  <r>
    <n v="249"/>
    <n v="200311881"/>
    <x v="248"/>
    <n v="6479"/>
    <x v="1"/>
    <x v="248"/>
    <s v="julie.barros "/>
    <x v="243"/>
    <n v="36938343"/>
    <m/>
    <m/>
    <n v="34956"/>
    <m/>
    <s v=""/>
    <n v="205"/>
    <x v="248"/>
    <x v="248"/>
    <n v="1083.8"/>
    <n v="198"/>
    <n v="688.80000000000007"/>
    <x v="11"/>
    <x v="3"/>
    <x v="4"/>
    <s v="Terceiro"/>
    <s v="N"/>
    <s v="RH"/>
    <s v="LXK4954-AVQ"/>
    <n v="87"/>
    <n v="34"/>
    <m/>
    <n v="52"/>
    <m/>
    <m/>
    <s v="011"/>
  </r>
  <r>
    <n v="250"/>
    <n v="762646893"/>
    <x v="249"/>
    <n v="1454"/>
    <x v="1"/>
    <x v="249"/>
    <s v="rodrigo.silva"/>
    <x v="244"/>
    <n v="25877524"/>
    <m/>
    <m/>
    <n v="42678"/>
    <m/>
    <d v="2018-01-05T00:00:00"/>
    <n v="243"/>
    <x v="249"/>
    <x v="249"/>
    <n v="4774.6000000000004"/>
    <n v="176"/>
    <n v="816.48"/>
    <x v="20"/>
    <x v="3"/>
    <x v="0"/>
    <s v="Terceiro"/>
    <s v="N"/>
    <s v="RH"/>
    <s v="TMB8727-BIM"/>
    <n v="99"/>
    <n v="32"/>
    <m/>
    <n v="195"/>
    <m/>
    <m/>
    <s v="010"/>
  </r>
  <r>
    <n v="251"/>
    <n v="122846690"/>
    <x v="250"/>
    <n v="3226"/>
    <x v="0"/>
    <x v="250"/>
    <s v="julia.gomes"/>
    <x v="245"/>
    <n v="45515980"/>
    <m/>
    <m/>
    <n v="39556"/>
    <m/>
    <s v=""/>
    <n v="216"/>
    <x v="250"/>
    <x v="250"/>
    <n v="435.20000000000005"/>
    <n v="176"/>
    <n v="725.76"/>
    <x v="3"/>
    <x v="2"/>
    <x v="2"/>
    <s v="Terceiro"/>
    <s v="N"/>
    <s v="RH"/>
    <s v="FZC9462-EUC"/>
    <n v="113"/>
    <n v="39"/>
    <m/>
    <n v="82"/>
    <m/>
    <m/>
    <s v="213"/>
  </r>
  <r>
    <n v="252"/>
    <n v="125277533"/>
    <x v="251"/>
    <n v="6408"/>
    <x v="0"/>
    <x v="251"/>
    <s v="marcelo.moita"/>
    <x v="246"/>
    <n v="42949440"/>
    <m/>
    <m/>
    <n v="41333"/>
    <m/>
    <s v=""/>
    <n v="187"/>
    <x v="251"/>
    <x v="251"/>
    <n v="3506.8"/>
    <n v="198"/>
    <n v="628.32000000000005"/>
    <x v="24"/>
    <x v="0"/>
    <x v="4"/>
    <s v="Efetivo"/>
    <s v="S"/>
    <s v="Diretoria"/>
    <s v="EHE6421-GUR"/>
    <n v="150"/>
    <n v="0"/>
    <m/>
    <n v="93"/>
    <m/>
    <m/>
    <s v="011"/>
  </r>
  <r>
    <n v="253"/>
    <n v="378766004"/>
    <x v="252"/>
    <n v="4173"/>
    <x v="0"/>
    <x v="252"/>
    <s v="pedro.afonso"/>
    <x v="247"/>
    <n v="39951689"/>
    <m/>
    <m/>
    <n v="39918"/>
    <m/>
    <d v="2016-04-30T00:00:00"/>
    <n v="248"/>
    <x v="252"/>
    <x v="252"/>
    <n v="2514"/>
    <n v="154"/>
    <n v="833.28000000000009"/>
    <x v="3"/>
    <x v="2"/>
    <x v="2"/>
    <s v="Terceiro"/>
    <s v="N"/>
    <s v="RH"/>
    <s v="QUN8008-MOJ"/>
    <n v="122"/>
    <n v="52"/>
    <m/>
    <n v="174"/>
    <m/>
    <m/>
    <s v="213"/>
  </r>
  <r>
    <n v="254"/>
    <n v="451822946"/>
    <x v="253"/>
    <n v="4603"/>
    <x v="0"/>
    <x v="253"/>
    <s v="igor.jimbo"/>
    <x v="248"/>
    <n v="37716185"/>
    <m/>
    <m/>
    <n v="33665"/>
    <m/>
    <d v="1996-07-06T00:00:00"/>
    <n v="239"/>
    <x v="253"/>
    <x v="253"/>
    <n v="541.4"/>
    <n v="242"/>
    <n v="803.04"/>
    <x v="6"/>
    <x v="2"/>
    <x v="3"/>
    <s v="Terceiro"/>
    <s v="N"/>
    <s v="RH"/>
    <s v="TJB5052-LMM"/>
    <n v="137"/>
    <n v="15"/>
    <m/>
    <n v="170"/>
    <m/>
    <m/>
    <s v="322"/>
  </r>
  <r>
    <n v="255"/>
    <n v="118888915"/>
    <x v="254"/>
    <n v="5696"/>
    <x v="1"/>
    <x v="254"/>
    <s v="catarina.virginio"/>
    <x v="249"/>
    <n v="24441727"/>
    <m/>
    <m/>
    <n v="40694"/>
    <m/>
    <s v=""/>
    <n v="242"/>
    <x v="254"/>
    <x v="254"/>
    <n v="3219.2000000000003"/>
    <n v="220"/>
    <n v="813.12"/>
    <x v="4"/>
    <x v="2"/>
    <x v="0"/>
    <s v="Terceiro"/>
    <s v="N"/>
    <s v="RH"/>
    <s v="LUH1798-WDO"/>
    <n v="42"/>
    <n v="46"/>
    <m/>
    <n v="51"/>
    <m/>
    <m/>
    <s v="010"/>
  </r>
  <r>
    <n v="256"/>
    <n v="153487556"/>
    <x v="255"/>
    <n v="4787"/>
    <x v="1"/>
    <x v="255"/>
    <s v="matheus.fróes"/>
    <x v="250"/>
    <n v="27699219"/>
    <m/>
    <m/>
    <n v="36729"/>
    <m/>
    <s v=""/>
    <n v="210"/>
    <x v="255"/>
    <x v="255"/>
    <n v="2901.4"/>
    <n v="242"/>
    <n v="705.6"/>
    <x v="10"/>
    <x v="3"/>
    <x v="1"/>
    <s v="Terceiro"/>
    <s v="N"/>
    <s v="RH"/>
    <s v="TTU7859-SBX"/>
    <n v="91"/>
    <n v="60"/>
    <m/>
    <n v="117"/>
    <m/>
    <m/>
    <s v="545"/>
  </r>
  <r>
    <n v="257"/>
    <n v="847818602"/>
    <x v="256"/>
    <n v="5727"/>
    <x v="1"/>
    <x v="256"/>
    <s v="manuela.tavares"/>
    <x v="251"/>
    <n v="29581063"/>
    <m/>
    <m/>
    <n v="41740"/>
    <m/>
    <s v=""/>
    <n v="203"/>
    <x v="256"/>
    <x v="256"/>
    <n v="2650.2000000000003"/>
    <n v="286"/>
    <n v="682.07999999999993"/>
    <x v="11"/>
    <x v="3"/>
    <x v="4"/>
    <s v="Terceiro"/>
    <s v="N"/>
    <s v="RH"/>
    <s v="OUC3982-UEW"/>
    <n v="54"/>
    <n v="28"/>
    <m/>
    <n v="152"/>
    <m/>
    <m/>
    <s v="011"/>
  </r>
  <r>
    <n v="258"/>
    <n v="271215970"/>
    <x v="257"/>
    <n v="2770"/>
    <x v="0"/>
    <x v="257"/>
    <s v="bruna.ferreira"/>
    <x v="252"/>
    <n v="23019973"/>
    <m/>
    <m/>
    <n v="42405"/>
    <m/>
    <s v=""/>
    <n v="235"/>
    <x v="257"/>
    <x v="257"/>
    <n v="4017.8"/>
    <n v="154"/>
    <n v="789.6"/>
    <x v="20"/>
    <x v="3"/>
    <x v="0"/>
    <s v="Terceiro"/>
    <s v="N"/>
    <s v="RH"/>
    <s v="KYY2667-RBC"/>
    <n v="50"/>
    <n v="35"/>
    <m/>
    <n v="78"/>
    <m/>
    <m/>
    <s v="010"/>
  </r>
  <r>
    <n v="259"/>
    <n v="284748208"/>
    <x v="258"/>
    <n v="7876"/>
    <x v="1"/>
    <x v="258"/>
    <s v="maria.ursulino"/>
    <x v="253"/>
    <n v="38075416"/>
    <m/>
    <m/>
    <n v="37798"/>
    <m/>
    <s v=""/>
    <n v="186"/>
    <x v="258"/>
    <x v="258"/>
    <n v="1070.6000000000001"/>
    <n v="242"/>
    <n v="624.96"/>
    <x v="15"/>
    <x v="2"/>
    <x v="1"/>
    <s v="Terceiro"/>
    <s v="N"/>
    <s v="RH"/>
    <s v="CHE9313-SIA"/>
    <n v="27"/>
    <n v="31"/>
    <m/>
    <n v="162"/>
    <m/>
    <m/>
    <s v="545"/>
  </r>
  <r>
    <n v="260"/>
    <n v="163342036"/>
    <x v="259"/>
    <n v="1218"/>
    <x v="1"/>
    <x v="259"/>
    <s v="lucas.racy"/>
    <x v="254"/>
    <n v="24975046"/>
    <m/>
    <m/>
    <n v="38249"/>
    <m/>
    <s v=""/>
    <n v="157"/>
    <x v="259"/>
    <x v="259"/>
    <n v="1154.8"/>
    <n v="220"/>
    <n v="527.52"/>
    <x v="1"/>
    <x v="1"/>
    <x v="1"/>
    <s v="Efetivo"/>
    <s v="N"/>
    <s v="Gerente"/>
    <s v="IVN6473-GAV"/>
    <n v="78"/>
    <n v="4"/>
    <m/>
    <n v="52"/>
    <m/>
    <m/>
    <s v="545"/>
  </r>
  <r>
    <n v="261"/>
    <n v="267494883"/>
    <x v="260"/>
    <n v="7776"/>
    <x v="0"/>
    <x v="260"/>
    <s v="eduarda.chagas"/>
    <x v="255"/>
    <n v="47721989"/>
    <m/>
    <m/>
    <n v="42624"/>
    <m/>
    <s v=""/>
    <n v="154"/>
    <x v="260"/>
    <x v="260"/>
    <n v="906.80000000000007"/>
    <n v="242"/>
    <n v="517.44000000000005"/>
    <x v="2"/>
    <x v="1"/>
    <x v="2"/>
    <s v="Efetivo"/>
    <s v="N"/>
    <s v="Gerente"/>
    <s v="WWD2891-ZWA"/>
    <n v="70"/>
    <n v="56"/>
    <m/>
    <n v="149"/>
    <m/>
    <m/>
    <s v="213"/>
  </r>
  <r>
    <n v="262"/>
    <n v="490866364"/>
    <x v="261"/>
    <n v="7965"/>
    <x v="1"/>
    <x v="261"/>
    <s v="ruan.paz"/>
    <x v="256"/>
    <n v="31718609"/>
    <m/>
    <m/>
    <n v="37753"/>
    <m/>
    <s v=""/>
    <n v="216"/>
    <x v="261"/>
    <x v="261"/>
    <n v="4439.6000000000004"/>
    <n v="308"/>
    <n v="725.76"/>
    <x v="0"/>
    <x v="0"/>
    <x v="0"/>
    <s v="Efetivo"/>
    <s v="S"/>
    <s v="Diretoria"/>
    <s v="EJJ2943-WNL"/>
    <n v="117"/>
    <n v="16"/>
    <m/>
    <n v="16"/>
    <m/>
    <m/>
    <s v="010"/>
  </r>
  <r>
    <n v="263"/>
    <n v="820043586"/>
    <x v="262"/>
    <n v="7058"/>
    <x v="0"/>
    <x v="262"/>
    <s v="luiza.guimarães"/>
    <x v="257"/>
    <n v="33770782"/>
    <m/>
    <m/>
    <n v="41442"/>
    <m/>
    <s v=""/>
    <n v="160"/>
    <x v="262"/>
    <x v="262"/>
    <n v="731.40000000000009"/>
    <n v="264"/>
    <n v="537.6"/>
    <x v="11"/>
    <x v="3"/>
    <x v="4"/>
    <s v="Terceiro"/>
    <s v="N"/>
    <s v="RH"/>
    <s v="ACU2179-QVY"/>
    <n v="136"/>
    <n v="51"/>
    <m/>
    <n v="140"/>
    <m/>
    <m/>
    <s v="011"/>
  </r>
  <r>
    <n v="264"/>
    <n v="209730569"/>
    <x v="263"/>
    <n v="2575"/>
    <x v="0"/>
    <x v="263"/>
    <s v="isabella.moura"/>
    <x v="258"/>
    <n v="44324533"/>
    <m/>
    <m/>
    <n v="40047"/>
    <m/>
    <s v=""/>
    <n v="185"/>
    <x v="263"/>
    <x v="263"/>
    <n v="1101"/>
    <n v="198"/>
    <n v="621.6"/>
    <x v="22"/>
    <x v="4"/>
    <x v="3"/>
    <s v="Efetivo"/>
    <s v="S"/>
    <s v="Diretoria"/>
    <s v="JTB1048-KMJ"/>
    <n v="88"/>
    <n v="45"/>
    <m/>
    <n v="56"/>
    <m/>
    <m/>
    <s v="322"/>
  </r>
  <r>
    <n v="265"/>
    <n v="755316976"/>
    <x v="264"/>
    <n v="4566"/>
    <x v="0"/>
    <x v="264"/>
    <s v="mariana.soares"/>
    <x v="259"/>
    <n v="33454155"/>
    <m/>
    <m/>
    <n v="37857"/>
    <m/>
    <s v=""/>
    <n v="160"/>
    <x v="264"/>
    <x v="264"/>
    <n v="1560.6000000000001"/>
    <n v="220"/>
    <n v="537.6"/>
    <x v="9"/>
    <x v="1"/>
    <x v="3"/>
    <s v="Efetivo"/>
    <s v="N"/>
    <s v="Gerente"/>
    <s v="QWX8931-OQZ"/>
    <n v="140"/>
    <n v="23"/>
    <m/>
    <n v="137"/>
    <m/>
    <m/>
    <s v="322"/>
  </r>
  <r>
    <n v="266"/>
    <n v="535999094"/>
    <x v="265"/>
    <n v="3621"/>
    <x v="0"/>
    <x v="265"/>
    <s v="julia.bach"/>
    <x v="260"/>
    <n v="24119561"/>
    <m/>
    <m/>
    <n v="38784"/>
    <m/>
    <s v=""/>
    <n v="187"/>
    <x v="265"/>
    <x v="265"/>
    <n v="285"/>
    <n v="176"/>
    <n v="628.32000000000005"/>
    <x v="20"/>
    <x v="3"/>
    <x v="0"/>
    <s v="Terceiro"/>
    <s v="N"/>
    <s v="RH"/>
    <s v="AAD3481-YZX"/>
    <n v="138"/>
    <n v="17"/>
    <m/>
    <n v="48"/>
    <m/>
    <m/>
    <s v="010"/>
  </r>
  <r>
    <n v="267"/>
    <n v="783877189"/>
    <x v="266"/>
    <n v="4870"/>
    <x v="0"/>
    <x v="266"/>
    <s v="renan.fernandes"/>
    <x v="261"/>
    <n v="39571725"/>
    <m/>
    <m/>
    <n v="38997"/>
    <m/>
    <s v=""/>
    <n v="161"/>
    <x v="266"/>
    <x v="266"/>
    <n v="3630"/>
    <n v="242"/>
    <n v="540.96"/>
    <x v="18"/>
    <x v="1"/>
    <x v="0"/>
    <s v="Efetivo"/>
    <s v="N"/>
    <s v="Gerente"/>
    <s v="PEM3965-OPM"/>
    <n v="62"/>
    <n v="47"/>
    <m/>
    <n v="127"/>
    <m/>
    <m/>
    <s v="010"/>
  </r>
  <r>
    <n v="268"/>
    <n v="564553030"/>
    <x v="267"/>
    <n v="5403"/>
    <x v="0"/>
    <x v="267"/>
    <s v="rômulo.silva"/>
    <x v="262"/>
    <n v="36977064"/>
    <m/>
    <m/>
    <n v="38892"/>
    <m/>
    <d v="2012-09-25T00:00:00"/>
    <n v="155"/>
    <x v="267"/>
    <x v="267"/>
    <n v="1968.2"/>
    <n v="154"/>
    <n v="520.80000000000007"/>
    <x v="18"/>
    <x v="1"/>
    <x v="0"/>
    <s v="Efetivo"/>
    <s v="N"/>
    <s v="Gerente"/>
    <s v="RMQ4220-XTG"/>
    <n v="120"/>
    <n v="20"/>
    <m/>
    <n v="183"/>
    <m/>
    <m/>
    <s v="010"/>
  </r>
  <r>
    <n v="269"/>
    <n v="756290052"/>
    <x v="268"/>
    <n v="3407"/>
    <x v="1"/>
    <x v="268"/>
    <s v="josé.guimarães"/>
    <x v="263"/>
    <n v="21658387"/>
    <m/>
    <m/>
    <n v="40386"/>
    <m/>
    <s v=""/>
    <n v="204"/>
    <x v="268"/>
    <x v="268"/>
    <n v="455"/>
    <n v="264"/>
    <n v="685.44"/>
    <x v="4"/>
    <x v="2"/>
    <x v="0"/>
    <s v="Terceiro"/>
    <s v="N"/>
    <s v="RH"/>
    <s v="GZD5514-YBU"/>
    <n v="110"/>
    <n v="7"/>
    <m/>
    <n v="156"/>
    <m/>
    <m/>
    <s v="010"/>
  </r>
  <r>
    <n v="270"/>
    <n v="893934446"/>
    <x v="269"/>
    <n v="1706"/>
    <x v="0"/>
    <x v="269"/>
    <s v="carlos.matta"/>
    <x v="264"/>
    <n v="42224082"/>
    <m/>
    <m/>
    <n v="37299"/>
    <m/>
    <s v=""/>
    <n v="200"/>
    <x v="269"/>
    <x v="269"/>
    <n v="3497.4"/>
    <n v="308"/>
    <n v="672"/>
    <x v="6"/>
    <x v="2"/>
    <x v="3"/>
    <s v="Terceiro"/>
    <s v="N"/>
    <s v="RH"/>
    <s v="EKF2037-GGO"/>
    <n v="47"/>
    <n v="51"/>
    <m/>
    <n v="34"/>
    <m/>
    <m/>
    <s v="322"/>
  </r>
  <r>
    <n v="271"/>
    <n v="629699329"/>
    <x v="270"/>
    <n v="5397"/>
    <x v="0"/>
    <x v="270"/>
    <s v="arthur.cavalcanti"/>
    <x v="265"/>
    <n v="37531834"/>
    <m/>
    <m/>
    <n v="37288"/>
    <m/>
    <s v=""/>
    <n v="211"/>
    <x v="270"/>
    <x v="270"/>
    <n v="3994.2000000000003"/>
    <n v="308"/>
    <n v="708.96"/>
    <x v="3"/>
    <x v="2"/>
    <x v="2"/>
    <s v="Terceiro"/>
    <s v="N"/>
    <s v="RH"/>
    <s v="QYM4098-LPR"/>
    <n v="94"/>
    <n v="28"/>
    <m/>
    <n v="109"/>
    <m/>
    <m/>
    <s v="213"/>
  </r>
  <r>
    <n v="272"/>
    <n v="329153268"/>
    <x v="271"/>
    <n v="4657"/>
    <x v="1"/>
    <x v="271"/>
    <s v="yago.fróes"/>
    <x v="266"/>
    <n v="21752811"/>
    <m/>
    <m/>
    <n v="38252"/>
    <m/>
    <s v=""/>
    <n v="161"/>
    <x v="271"/>
    <x v="271"/>
    <n v="2727.6000000000004"/>
    <n v="198"/>
    <n v="540.96"/>
    <x v="10"/>
    <x v="3"/>
    <x v="1"/>
    <s v="Terceiro"/>
    <s v="N"/>
    <s v="RH"/>
    <s v="FXX2518-MOO"/>
    <n v="146"/>
    <n v="16"/>
    <m/>
    <n v="45"/>
    <m/>
    <m/>
    <s v="545"/>
  </r>
  <r>
    <n v="273"/>
    <n v="479142780"/>
    <x v="272"/>
    <n v="6456"/>
    <x v="1"/>
    <x v="272"/>
    <s v="caio.farias"/>
    <x v="267"/>
    <n v="35773038"/>
    <m/>
    <m/>
    <n v="38154"/>
    <m/>
    <s v=""/>
    <n v="209"/>
    <x v="272"/>
    <x v="272"/>
    <n v="2586"/>
    <n v="242"/>
    <n v="702.24"/>
    <x v="1"/>
    <x v="1"/>
    <x v="1"/>
    <s v="Efetivo"/>
    <s v="N"/>
    <s v="Gerente"/>
    <s v="QJC6162-JOJ"/>
    <n v="59"/>
    <n v="4"/>
    <m/>
    <n v="164"/>
    <m/>
    <m/>
    <s v="545"/>
  </r>
  <r>
    <n v="274"/>
    <n v="227546734"/>
    <x v="273"/>
    <n v="3362"/>
    <x v="1"/>
    <x v="273"/>
    <s v="isabella.fernandes"/>
    <x v="268"/>
    <n v="44499392"/>
    <m/>
    <m/>
    <n v="42994"/>
    <m/>
    <s v=""/>
    <n v="198"/>
    <x v="273"/>
    <x v="273"/>
    <n v="794.40000000000009"/>
    <n v="308"/>
    <n v="665.28000000000009"/>
    <x v="17"/>
    <x v="2"/>
    <x v="4"/>
    <s v="Terceiro"/>
    <s v="N"/>
    <s v="RH"/>
    <s v="EJT2724-MRY"/>
    <n v="30"/>
    <n v="40"/>
    <m/>
    <n v="148"/>
    <m/>
    <m/>
    <s v="011"/>
  </r>
  <r>
    <n v="275"/>
    <n v="659376558"/>
    <x v="274"/>
    <n v="4058"/>
    <x v="1"/>
    <x v="274"/>
    <s v="norman.souza"/>
    <x v="269"/>
    <n v="24266793"/>
    <m/>
    <m/>
    <n v="38256"/>
    <m/>
    <d v="2011-08-11T00:00:00"/>
    <n v="215"/>
    <x v="274"/>
    <x v="274"/>
    <n v="2128.4"/>
    <n v="220"/>
    <n v="722.4"/>
    <x v="3"/>
    <x v="2"/>
    <x v="2"/>
    <s v="Terceiro"/>
    <s v="N"/>
    <s v="RH"/>
    <s v="OZB5329-UBA"/>
    <n v="102"/>
    <n v="46"/>
    <m/>
    <n v="6"/>
    <m/>
    <m/>
    <s v="213"/>
  </r>
  <r>
    <n v="276"/>
    <n v="742567433"/>
    <x v="275"/>
    <n v="7099"/>
    <x v="1"/>
    <x v="275"/>
    <s v="bruno.montanholi"/>
    <x v="270"/>
    <n v="44027431"/>
    <m/>
    <m/>
    <n v="34567"/>
    <m/>
    <s v=""/>
    <n v="224"/>
    <x v="275"/>
    <x v="275"/>
    <n v="2552.6000000000004"/>
    <n v="308"/>
    <n v="752.64"/>
    <x v="11"/>
    <x v="3"/>
    <x v="4"/>
    <s v="Terceiro"/>
    <s v="N"/>
    <s v="RH"/>
    <s v="IJE9880-FVG"/>
    <n v="101"/>
    <n v="3"/>
    <m/>
    <n v="85"/>
    <m/>
    <m/>
    <s v="011"/>
  </r>
  <r>
    <n v="277"/>
    <n v="239399140"/>
    <x v="276"/>
    <n v="7053"/>
    <x v="0"/>
    <x v="276"/>
    <s v="nathália.oliveira"/>
    <x v="271"/>
    <n v="42747272"/>
    <m/>
    <m/>
    <n v="38626"/>
    <m/>
    <s v=""/>
    <n v="230"/>
    <x v="276"/>
    <x v="276"/>
    <n v="641.6"/>
    <n v="286"/>
    <n v="772.80000000000007"/>
    <x v="15"/>
    <x v="2"/>
    <x v="1"/>
    <s v="Terceiro"/>
    <s v="N"/>
    <s v="RH"/>
    <s v="GHT9995-PJS"/>
    <n v="110"/>
    <n v="53"/>
    <m/>
    <n v="178"/>
    <m/>
    <m/>
    <s v="545"/>
  </r>
  <r>
    <n v="278"/>
    <n v="880941696"/>
    <x v="277"/>
    <n v="4712"/>
    <x v="1"/>
    <x v="277"/>
    <s v="marta.costa"/>
    <x v="272"/>
    <n v="25773490"/>
    <m/>
    <m/>
    <n v="35409"/>
    <m/>
    <d v="1997-12-09T00:00:00"/>
    <n v="237"/>
    <x v="277"/>
    <x v="277"/>
    <n v="3360.2000000000003"/>
    <n v="198"/>
    <n v="796.32"/>
    <x v="18"/>
    <x v="1"/>
    <x v="0"/>
    <s v="Efetivo"/>
    <s v="N"/>
    <s v="Gerente"/>
    <s v="VGS8954-MLV"/>
    <n v="68"/>
    <n v="44"/>
    <m/>
    <n v="73"/>
    <m/>
    <m/>
    <s v="010"/>
  </r>
  <r>
    <n v="279"/>
    <n v="592764563"/>
    <x v="278"/>
    <n v="1950"/>
    <x v="0"/>
    <x v="278"/>
    <s v="júlia.cabral"/>
    <x v="273"/>
    <n v="29192121"/>
    <m/>
    <m/>
    <n v="37914"/>
    <m/>
    <s v=""/>
    <n v="229"/>
    <x v="278"/>
    <x v="278"/>
    <n v="4039.8"/>
    <n v="242"/>
    <n v="769.44"/>
    <x v="7"/>
    <x v="3"/>
    <x v="2"/>
    <s v="Terceiro"/>
    <s v="N"/>
    <s v="RH"/>
    <s v="SLV3586-IUK"/>
    <n v="119"/>
    <n v="40"/>
    <m/>
    <n v="88"/>
    <m/>
    <m/>
    <s v="213"/>
  </r>
  <r>
    <n v="280"/>
    <n v="873602136"/>
    <x v="279"/>
    <n v="5517"/>
    <x v="1"/>
    <x v="279"/>
    <s v="luiz.ladogano"/>
    <x v="274"/>
    <n v="36375961"/>
    <m/>
    <m/>
    <n v="40222"/>
    <m/>
    <s v=""/>
    <n v="179"/>
    <x v="279"/>
    <x v="279"/>
    <n v="583.6"/>
    <n v="242"/>
    <n v="601.44000000000005"/>
    <x v="6"/>
    <x v="2"/>
    <x v="3"/>
    <s v="Terceiro"/>
    <s v="N"/>
    <s v="RH"/>
    <s v="UFL4627-IUP"/>
    <n v="140"/>
    <n v="23"/>
    <m/>
    <n v="87"/>
    <m/>
    <m/>
    <s v="322"/>
  </r>
  <r>
    <n v="281"/>
    <n v="906722059"/>
    <x v="280"/>
    <n v="4300"/>
    <x v="0"/>
    <x v="280"/>
    <s v="rafael.cunha"/>
    <x v="275"/>
    <n v="41608892"/>
    <m/>
    <m/>
    <n v="41831"/>
    <m/>
    <s v=""/>
    <n v="171"/>
    <x v="280"/>
    <x v="280"/>
    <n v="3852.8"/>
    <n v="264"/>
    <n v="574.55999999999995"/>
    <x v="0"/>
    <x v="0"/>
    <x v="0"/>
    <s v="Efetivo"/>
    <s v="S"/>
    <s v="Diretoria"/>
    <s v="XNY1295-GZJ"/>
    <n v="47"/>
    <n v="0"/>
    <m/>
    <n v="188"/>
    <m/>
    <m/>
    <s v="010"/>
  </r>
  <r>
    <n v="282"/>
    <n v="861008612"/>
    <x v="281"/>
    <n v="6194"/>
    <x v="1"/>
    <x v="281"/>
    <s v="igor.rezende"/>
    <x v="276"/>
    <n v="47611751"/>
    <m/>
    <m/>
    <n v="39264"/>
    <m/>
    <s v=""/>
    <n v="172"/>
    <x v="281"/>
    <x v="281"/>
    <n v="4604.8"/>
    <n v="176"/>
    <n v="577.92000000000007"/>
    <x v="15"/>
    <x v="2"/>
    <x v="1"/>
    <s v="Terceiro"/>
    <s v="N"/>
    <s v="RH"/>
    <s v="YXF7664-CQG"/>
    <n v="24"/>
    <n v="1"/>
    <m/>
    <n v="98"/>
    <m/>
    <m/>
    <s v="545"/>
  </r>
  <r>
    <n v="283"/>
    <n v="518862052"/>
    <x v="282"/>
    <n v="4703"/>
    <x v="1"/>
    <x v="282"/>
    <s v="rafael.souza"/>
    <x v="277"/>
    <n v="42197115"/>
    <m/>
    <m/>
    <n v="38227"/>
    <m/>
    <s v=""/>
    <n v="222"/>
    <x v="282"/>
    <x v="282"/>
    <n v="1975"/>
    <n v="242"/>
    <n v="745.92000000000007"/>
    <x v="10"/>
    <x v="3"/>
    <x v="1"/>
    <s v="Terceiro"/>
    <s v="N"/>
    <s v="RH"/>
    <s v="AXG2167-PCP"/>
    <n v="131"/>
    <n v="34"/>
    <m/>
    <n v="81"/>
    <m/>
    <m/>
    <s v="545"/>
  </r>
  <r>
    <n v="284"/>
    <n v="341053775"/>
    <x v="283"/>
    <n v="4089"/>
    <x v="1"/>
    <x v="283"/>
    <s v="luiz.viana"/>
    <x v="278"/>
    <n v="37765556"/>
    <m/>
    <m/>
    <n v="40482"/>
    <m/>
    <s v=""/>
    <n v="160"/>
    <x v="283"/>
    <x v="283"/>
    <n v="383.40000000000003"/>
    <n v="286"/>
    <n v="537.6"/>
    <x v="1"/>
    <x v="1"/>
    <x v="1"/>
    <s v="Efetivo"/>
    <s v="N"/>
    <s v="Gerente"/>
    <s v="NMB9560-GRV"/>
    <n v="121"/>
    <n v="22"/>
    <m/>
    <n v="172"/>
    <m/>
    <m/>
    <s v="545"/>
  </r>
  <r>
    <n v="285"/>
    <n v="593562323"/>
    <x v="284"/>
    <n v="1968"/>
    <x v="1"/>
    <x v="284"/>
    <s v="henrique.brito"/>
    <x v="279"/>
    <n v="43057306"/>
    <m/>
    <m/>
    <n v="38186"/>
    <m/>
    <s v=""/>
    <n v="182"/>
    <x v="284"/>
    <x v="284"/>
    <n v="4879.8"/>
    <n v="220"/>
    <n v="611.52"/>
    <x v="2"/>
    <x v="1"/>
    <x v="2"/>
    <s v="Efetivo"/>
    <s v="N"/>
    <s v="Gerente"/>
    <s v="CDM8570-SDR"/>
    <n v="61"/>
    <n v="48"/>
    <m/>
    <n v="57"/>
    <m/>
    <m/>
    <s v="213"/>
  </r>
  <r>
    <n v="286"/>
    <n v="441345543"/>
    <x v="285"/>
    <n v="5984"/>
    <x v="1"/>
    <x v="285"/>
    <s v="andressa.israel"/>
    <x v="280"/>
    <n v="33440265"/>
    <m/>
    <m/>
    <n v="42913"/>
    <m/>
    <s v=""/>
    <n v="167"/>
    <x v="285"/>
    <x v="285"/>
    <n v="1737.8000000000002"/>
    <n v="308"/>
    <n v="561.12"/>
    <x v="15"/>
    <x v="2"/>
    <x v="1"/>
    <s v="Terceiro"/>
    <s v="N"/>
    <s v="RH"/>
    <s v="ATG5222-ODJ"/>
    <n v="79"/>
    <n v="40"/>
    <m/>
    <n v="69"/>
    <m/>
    <m/>
    <s v="545"/>
  </r>
  <r>
    <n v="287"/>
    <n v="192219632"/>
    <x v="286"/>
    <n v="4628"/>
    <x v="1"/>
    <x v="286"/>
    <s v="andre.costa"/>
    <x v="281"/>
    <n v="24966863"/>
    <m/>
    <m/>
    <n v="42486"/>
    <m/>
    <s v=""/>
    <n v="182"/>
    <x v="286"/>
    <x v="286"/>
    <n v="1492.4"/>
    <n v="154"/>
    <n v="611.52"/>
    <x v="9"/>
    <x v="1"/>
    <x v="3"/>
    <s v="Efetivo"/>
    <s v="N"/>
    <s v="Gerente"/>
    <s v="WCZ9008-AXA"/>
    <n v="113"/>
    <n v="30"/>
    <m/>
    <n v="145"/>
    <m/>
    <m/>
    <s v="322"/>
  </r>
  <r>
    <n v="288"/>
    <n v="152639143"/>
    <x v="287"/>
    <n v="6255"/>
    <x v="0"/>
    <x v="287"/>
    <s v="beatriz.araujo"/>
    <x v="282"/>
    <n v="33862086"/>
    <m/>
    <m/>
    <n v="40483"/>
    <m/>
    <s v=""/>
    <n v="178"/>
    <x v="287"/>
    <x v="287"/>
    <n v="463.6"/>
    <n v="176"/>
    <n v="598.07999999999993"/>
    <x v="2"/>
    <x v="1"/>
    <x v="2"/>
    <s v="Efetivo"/>
    <s v="N"/>
    <s v="Gerente"/>
    <s v="BOS3081-RMF"/>
    <n v="123"/>
    <n v="26"/>
    <m/>
    <n v="75"/>
    <m/>
    <m/>
    <s v="213"/>
  </r>
  <r>
    <n v="289"/>
    <n v="541359983"/>
    <x v="288"/>
    <n v="3837"/>
    <x v="0"/>
    <x v="288"/>
    <s v="beatriz.costa"/>
    <x v="283"/>
    <n v="32415829"/>
    <m/>
    <m/>
    <n v="40758"/>
    <m/>
    <s v=""/>
    <n v="204"/>
    <x v="288"/>
    <x v="288"/>
    <n v="4256.8"/>
    <n v="220"/>
    <n v="685.44"/>
    <x v="24"/>
    <x v="0"/>
    <x v="4"/>
    <s v="Efetivo"/>
    <s v="S"/>
    <s v="Diretoria"/>
    <s v="ZYQ2691-EAF"/>
    <n v="97"/>
    <n v="20"/>
    <m/>
    <n v="178"/>
    <m/>
    <m/>
    <s v="011"/>
  </r>
  <r>
    <n v="290"/>
    <n v="309821813"/>
    <x v="289"/>
    <n v="3705"/>
    <x v="0"/>
    <x v="289"/>
    <s v="bruna.jimbo"/>
    <x v="284"/>
    <n v="31789201"/>
    <m/>
    <m/>
    <n v="41170"/>
    <m/>
    <s v=""/>
    <n v="151"/>
    <x v="289"/>
    <x v="289"/>
    <n v="3677"/>
    <n v="198"/>
    <n v="507.36"/>
    <x v="21"/>
    <x v="4"/>
    <x v="2"/>
    <s v="Efetivo"/>
    <s v="S"/>
    <s v="RH"/>
    <s v="GQH6831-VBD"/>
    <n v="70"/>
    <n v="14"/>
    <m/>
    <n v="29"/>
    <m/>
    <m/>
    <s v="213"/>
  </r>
  <r>
    <n v="291"/>
    <n v="774975977"/>
    <x v="290"/>
    <n v="1182"/>
    <x v="1"/>
    <x v="290"/>
    <s v="amanda.lacerda"/>
    <x v="285"/>
    <n v="44730740"/>
    <m/>
    <m/>
    <n v="41136"/>
    <m/>
    <s v=""/>
    <n v="194"/>
    <x v="290"/>
    <x v="290"/>
    <n v="2319.8000000000002"/>
    <n v="176"/>
    <n v="651.84"/>
    <x v="4"/>
    <x v="2"/>
    <x v="0"/>
    <s v="Terceiro"/>
    <s v="N"/>
    <s v="RH"/>
    <s v="ITL8735-BOJ"/>
    <n v="72"/>
    <n v="56"/>
    <m/>
    <n v="43"/>
    <m/>
    <m/>
    <s v="010"/>
  </r>
  <r>
    <n v="292"/>
    <n v="863695110"/>
    <x v="291"/>
    <n v="3689"/>
    <x v="1"/>
    <x v="291"/>
    <s v="flávio.fontes"/>
    <x v="286"/>
    <n v="23553929"/>
    <m/>
    <m/>
    <n v="42222"/>
    <m/>
    <s v=""/>
    <n v="154"/>
    <x v="291"/>
    <x v="291"/>
    <n v="486.40000000000003"/>
    <n v="286"/>
    <n v="517.44000000000005"/>
    <x v="15"/>
    <x v="2"/>
    <x v="1"/>
    <s v="Terceiro"/>
    <s v="N"/>
    <s v="RH"/>
    <s v="QJD2665-YMB"/>
    <n v="128"/>
    <n v="10"/>
    <m/>
    <n v="165"/>
    <m/>
    <m/>
    <s v="545"/>
  </r>
  <r>
    <n v="293"/>
    <n v="247225334"/>
    <x v="292"/>
    <n v="7294"/>
    <x v="0"/>
    <x v="292"/>
    <s v="joão.lima"/>
    <x v="287"/>
    <n v="30092748"/>
    <m/>
    <m/>
    <n v="36093"/>
    <m/>
    <s v=""/>
    <n v="191"/>
    <x v="91"/>
    <x v="91"/>
    <n v="3086.6000000000004"/>
    <n v="220"/>
    <n v="641.76"/>
    <x v="16"/>
    <x v="4"/>
    <x v="0"/>
    <s v="Efetivo"/>
    <s v="S"/>
    <s v="RH"/>
    <s v="SMP5215-LDY"/>
    <n v="52"/>
    <n v="41"/>
    <m/>
    <n v="38"/>
    <m/>
    <m/>
    <s v="010"/>
  </r>
  <r>
    <n v="294"/>
    <n v="495401275"/>
    <x v="293"/>
    <n v="2839"/>
    <x v="0"/>
    <x v="293"/>
    <s v="gabriela.campos"/>
    <x v="265"/>
    <n v="36802373"/>
    <m/>
    <m/>
    <n v="37186"/>
    <m/>
    <s v=""/>
    <n v="202"/>
    <x v="292"/>
    <x v="292"/>
    <n v="858.80000000000007"/>
    <n v="242"/>
    <n v="678.71999999999991"/>
    <x v="18"/>
    <x v="1"/>
    <x v="0"/>
    <s v="Efetivo"/>
    <s v="N"/>
    <s v="Gerente"/>
    <s v="YFP9509-NFX"/>
    <n v="79"/>
    <n v="7"/>
    <m/>
    <n v="91"/>
    <m/>
    <m/>
    <s v="010"/>
  </r>
  <r>
    <n v="295"/>
    <n v="485908652"/>
    <x v="294"/>
    <n v="5299"/>
    <x v="0"/>
    <x v="294"/>
    <s v="raquel.souza"/>
    <x v="288"/>
    <n v="45729977"/>
    <m/>
    <m/>
    <n v="41546"/>
    <m/>
    <s v=""/>
    <n v="199"/>
    <x v="293"/>
    <x v="293"/>
    <n v="4252.6000000000004"/>
    <n v="220"/>
    <n v="668.64"/>
    <x v="0"/>
    <x v="0"/>
    <x v="0"/>
    <s v="Efetivo"/>
    <s v="S"/>
    <s v="Diretoria"/>
    <s v="GCI8666-KBB"/>
    <n v="59"/>
    <n v="0"/>
    <m/>
    <n v="133"/>
    <m/>
    <m/>
    <s v="010"/>
  </r>
  <r>
    <n v="296"/>
    <n v="145789550"/>
    <x v="295"/>
    <n v="5752"/>
    <x v="0"/>
    <x v="295"/>
    <s v="elaine.aragao"/>
    <x v="289"/>
    <n v="46366461"/>
    <m/>
    <m/>
    <n v="38259"/>
    <m/>
    <s v=""/>
    <n v="169"/>
    <x v="294"/>
    <x v="294"/>
    <n v="524.6"/>
    <n v="286"/>
    <n v="567.84"/>
    <x v="1"/>
    <x v="1"/>
    <x v="1"/>
    <s v="Efetivo"/>
    <s v="N"/>
    <s v="Gerente"/>
    <s v="MVT8673-TAJ"/>
    <n v="99"/>
    <n v="47"/>
    <m/>
    <n v="112"/>
    <m/>
    <m/>
    <s v="545"/>
  </r>
  <r>
    <n v="297"/>
    <n v="272376769"/>
    <x v="296"/>
    <n v="2142"/>
    <x v="1"/>
    <x v="296"/>
    <s v="gabriel.pacheco"/>
    <x v="290"/>
    <n v="24028886"/>
    <m/>
    <m/>
    <n v="40446"/>
    <m/>
    <d v="2018-01-05T00:00:00"/>
    <n v="204"/>
    <x v="295"/>
    <x v="295"/>
    <n v="2031.8000000000002"/>
    <n v="264"/>
    <n v="685.44"/>
    <x v="0"/>
    <x v="0"/>
    <x v="0"/>
    <s v="Efetivo"/>
    <s v="S"/>
    <s v="Diretoria"/>
    <s v="ALJ7137-SSE"/>
    <n v="91"/>
    <n v="57"/>
    <m/>
    <n v="134"/>
    <m/>
    <m/>
    <s v="010"/>
  </r>
  <r>
    <n v="298"/>
    <n v="139663302"/>
    <x v="297"/>
    <n v="5138"/>
    <x v="1"/>
    <x v="297"/>
    <s v="isabella.meirelles"/>
    <x v="291"/>
    <n v="23514677"/>
    <m/>
    <m/>
    <n v="40391"/>
    <m/>
    <d v="2018-01-05T00:00:00"/>
    <n v="224"/>
    <x v="296"/>
    <x v="296"/>
    <n v="1899"/>
    <n v="198"/>
    <n v="752.64"/>
    <x v="2"/>
    <x v="1"/>
    <x v="2"/>
    <s v="Efetivo"/>
    <s v="N"/>
    <s v="Gerente"/>
    <s v="EWF3874-KIX"/>
    <n v="103"/>
    <n v="52"/>
    <m/>
    <n v="20"/>
    <m/>
    <m/>
    <s v="213"/>
  </r>
  <r>
    <n v="299"/>
    <n v="559704433"/>
    <x v="298"/>
    <n v="5745"/>
    <x v="0"/>
    <x v="298"/>
    <s v="elaine.almeida"/>
    <x v="292"/>
    <n v="33277794"/>
    <m/>
    <m/>
    <n v="39664"/>
    <m/>
    <s v=""/>
    <n v="156"/>
    <x v="297"/>
    <x v="297"/>
    <n v="2227.2000000000003"/>
    <n v="286"/>
    <n v="524.16"/>
    <x v="7"/>
    <x v="3"/>
    <x v="2"/>
    <s v="Terceiro"/>
    <s v="N"/>
    <s v="RH"/>
    <s v="HUF6467-APM"/>
    <n v="142"/>
    <n v="25"/>
    <m/>
    <n v="184"/>
    <m/>
    <m/>
    <s v="213"/>
  </r>
  <r>
    <n v="300"/>
    <n v="142582318"/>
    <x v="299"/>
    <n v="3972"/>
    <x v="0"/>
    <x v="299"/>
    <s v="bruna.yang"/>
    <x v="293"/>
    <n v="34348203"/>
    <m/>
    <m/>
    <n v="43003"/>
    <m/>
    <s v=""/>
    <n v="168"/>
    <x v="298"/>
    <x v="298"/>
    <n v="951.80000000000007"/>
    <n v="286"/>
    <n v="564.48"/>
    <x v="13"/>
    <x v="0"/>
    <x v="2"/>
    <s v="Efetivo"/>
    <s v="S"/>
    <s v="Diretoria"/>
    <s v="HIN9427-XFZ"/>
    <n v="44"/>
    <n v="57"/>
    <m/>
    <n v="178"/>
    <m/>
    <m/>
    <s v="213"/>
  </r>
  <r>
    <n v="301"/>
    <n v="140134837"/>
    <x v="300"/>
    <n v="6065"/>
    <x v="0"/>
    <x v="300"/>
    <s v="luis.azevedo"/>
    <x v="294"/>
    <n v="42478137"/>
    <m/>
    <m/>
    <n v="38630"/>
    <m/>
    <s v=""/>
    <n v="167"/>
    <x v="299"/>
    <x v="299"/>
    <n v="4226"/>
    <n v="176"/>
    <n v="561.12"/>
    <x v="6"/>
    <x v="2"/>
    <x v="3"/>
    <s v="Terceiro"/>
    <s v="N"/>
    <s v="RH"/>
    <s v="QTZ3455-BYB"/>
    <n v="83"/>
    <n v="46"/>
    <m/>
    <n v="135"/>
    <m/>
    <m/>
    <s v="322"/>
  </r>
  <r>
    <n v="302"/>
    <n v="423379756"/>
    <x v="301"/>
    <n v="7135"/>
    <x v="1"/>
    <x v="301"/>
    <s v="renata.pinheiro"/>
    <x v="295"/>
    <n v="29519698"/>
    <m/>
    <m/>
    <n v="41903"/>
    <m/>
    <s v=""/>
    <n v="151"/>
    <x v="300"/>
    <x v="300"/>
    <n v="2604"/>
    <n v="176"/>
    <n v="507.36"/>
    <x v="2"/>
    <x v="1"/>
    <x v="2"/>
    <s v="Efetivo"/>
    <s v="N"/>
    <s v="Gerente"/>
    <s v="KFV8060-XON"/>
    <n v="51"/>
    <n v="7"/>
    <m/>
    <n v="149"/>
    <m/>
    <m/>
    <s v="213"/>
  </r>
  <r>
    <n v="303"/>
    <n v="133060880"/>
    <x v="302"/>
    <n v="6631"/>
    <x v="0"/>
    <x v="302"/>
    <s v="matheus.machado"/>
    <x v="296"/>
    <n v="32912950"/>
    <m/>
    <m/>
    <n v="42470"/>
    <m/>
    <s v=""/>
    <n v="204"/>
    <x v="301"/>
    <x v="301"/>
    <n v="1116.8"/>
    <n v="198"/>
    <n v="685.44"/>
    <x v="2"/>
    <x v="1"/>
    <x v="2"/>
    <s v="Efetivo"/>
    <s v="N"/>
    <s v="Gerente"/>
    <s v="UVU8426-QGG"/>
    <n v="25"/>
    <n v="25"/>
    <m/>
    <n v="29"/>
    <n v="777"/>
    <m/>
    <s v="213"/>
  </r>
  <r>
    <n v="304"/>
    <n v="795011679"/>
    <x v="303"/>
    <n v="5496"/>
    <x v="0"/>
    <x v="303"/>
    <s v="júlia.silva"/>
    <x v="297"/>
    <n v="23073901"/>
    <m/>
    <m/>
    <n v="41339"/>
    <m/>
    <s v=""/>
    <n v="176"/>
    <x v="302"/>
    <x v="302"/>
    <n v="1717.8000000000002"/>
    <n v="198"/>
    <n v="591.36"/>
    <x v="7"/>
    <x v="3"/>
    <x v="2"/>
    <s v="Terceiro"/>
    <s v="N"/>
    <s v="RH"/>
    <s v="EBW4997-IOS"/>
    <n v="50"/>
    <n v="44"/>
    <m/>
    <n v="136"/>
    <m/>
    <m/>
    <s v="213"/>
  </r>
  <r>
    <n v="305"/>
    <n v="387150232"/>
    <x v="304"/>
    <n v="4537"/>
    <x v="1"/>
    <x v="304"/>
    <s v="pedro.michetti"/>
    <x v="298"/>
    <n v="31936750"/>
    <m/>
    <m/>
    <n v="39926"/>
    <m/>
    <s v=""/>
    <n v="181"/>
    <x v="303"/>
    <x v="303"/>
    <n v="1790.8000000000002"/>
    <n v="220"/>
    <n v="608.16"/>
    <x v="24"/>
    <x v="0"/>
    <x v="4"/>
    <s v="Efetivo"/>
    <s v="S"/>
    <s v="Diretoria"/>
    <s v="DLI6124-ZMG"/>
    <n v="46"/>
    <n v="24"/>
    <m/>
    <n v="55"/>
    <m/>
    <m/>
    <s v="011"/>
  </r>
  <r>
    <n v="306"/>
    <n v="220754906"/>
    <x v="305"/>
    <n v="6368"/>
    <x v="1"/>
    <x v="305"/>
    <s v="milena.brum"/>
    <x v="299"/>
    <n v="25500791"/>
    <m/>
    <m/>
    <n v="42043"/>
    <m/>
    <s v=""/>
    <n v="154"/>
    <x v="304"/>
    <x v="304"/>
    <n v="1813.8000000000002"/>
    <n v="220"/>
    <n v="517.44000000000005"/>
    <x v="3"/>
    <x v="2"/>
    <x v="2"/>
    <s v="Terceiro"/>
    <s v="N"/>
    <s v="RH"/>
    <s v="VEB9376-NZS"/>
    <n v="79"/>
    <n v="55"/>
    <m/>
    <n v="57"/>
    <m/>
    <m/>
    <s v="213"/>
  </r>
  <r>
    <n v="307"/>
    <n v="476903460"/>
    <x v="306"/>
    <n v="4937"/>
    <x v="1"/>
    <x v="306"/>
    <s v="bernardo.essaber"/>
    <x v="300"/>
    <n v="37545336"/>
    <m/>
    <m/>
    <n v="37273"/>
    <m/>
    <s v=""/>
    <n v="185"/>
    <x v="305"/>
    <x v="305"/>
    <n v="696.2"/>
    <n v="242"/>
    <n v="621.6"/>
    <x v="4"/>
    <x v="2"/>
    <x v="0"/>
    <s v="Terceiro"/>
    <s v="N"/>
    <s v="RH"/>
    <s v="NRU5664-LIJ"/>
    <n v="127"/>
    <n v="10"/>
    <m/>
    <n v="170"/>
    <m/>
    <m/>
    <s v="010"/>
  </r>
  <r>
    <n v="308"/>
    <n v="355533812"/>
    <x v="307"/>
    <n v="1521"/>
    <x v="1"/>
    <x v="307"/>
    <s v="camila.martinez"/>
    <x v="95"/>
    <n v="42786696"/>
    <m/>
    <m/>
    <n v="42154"/>
    <m/>
    <d v="2018-01-05T00:00:00"/>
    <n v="183"/>
    <x v="306"/>
    <x v="306"/>
    <n v="308.60000000000002"/>
    <n v="154"/>
    <n v="614.88"/>
    <x v="19"/>
    <x v="1"/>
    <x v="4"/>
    <s v="Efetivo"/>
    <s v="N"/>
    <s v="Gerente"/>
    <s v="NEZ2991-IBK"/>
    <n v="82"/>
    <n v="18"/>
    <m/>
    <n v="119"/>
    <m/>
    <m/>
    <s v="011"/>
  </r>
  <r>
    <n v="309"/>
    <n v="401055144"/>
    <x v="308"/>
    <n v="7799"/>
    <x v="0"/>
    <x v="308"/>
    <s v="yuri.albino"/>
    <x v="301"/>
    <n v="47212016"/>
    <m/>
    <m/>
    <n v="36037"/>
    <m/>
    <s v=""/>
    <n v="207"/>
    <x v="307"/>
    <x v="307"/>
    <n v="3534.2000000000003"/>
    <n v="286"/>
    <n v="695.52"/>
    <x v="22"/>
    <x v="4"/>
    <x v="3"/>
    <s v="Efetivo"/>
    <s v="S"/>
    <s v="Diretoria"/>
    <s v="FMB5786-BJI"/>
    <n v="38"/>
    <n v="16"/>
    <m/>
    <n v="60"/>
    <m/>
    <m/>
    <s v="322"/>
  </r>
  <r>
    <n v="310"/>
    <n v="784732330"/>
    <x v="309"/>
    <n v="1054"/>
    <x v="0"/>
    <x v="309"/>
    <s v="debora.penedo"/>
    <x v="302"/>
    <n v="44699953"/>
    <m/>
    <m/>
    <n v="38738"/>
    <m/>
    <s v=""/>
    <n v="246"/>
    <x v="308"/>
    <x v="308"/>
    <n v="4740.8"/>
    <n v="154"/>
    <n v="826.56"/>
    <x v="20"/>
    <x v="3"/>
    <x v="0"/>
    <s v="Terceiro"/>
    <s v="N"/>
    <s v="RH"/>
    <s v="POI1154-CTZ"/>
    <n v="99"/>
    <n v="41"/>
    <m/>
    <n v="26"/>
    <m/>
    <m/>
    <s v="010"/>
  </r>
  <r>
    <n v="311"/>
    <n v="748156424"/>
    <x v="310"/>
    <n v="6656"/>
    <x v="1"/>
    <x v="310"/>
    <s v="flávia.jordao"/>
    <x v="303"/>
    <n v="46284198"/>
    <m/>
    <m/>
    <n v="42094"/>
    <m/>
    <s v=""/>
    <n v="171"/>
    <x v="309"/>
    <x v="309"/>
    <n v="2534.4"/>
    <n v="198"/>
    <n v="574.55999999999995"/>
    <x v="3"/>
    <x v="2"/>
    <x v="2"/>
    <s v="Terceiro"/>
    <s v="N"/>
    <s v="RH"/>
    <s v="PVK4389-RWX"/>
    <n v="90"/>
    <n v="8"/>
    <m/>
    <n v="134"/>
    <m/>
    <m/>
    <s v="213"/>
  </r>
  <r>
    <n v="312"/>
    <n v="159298032"/>
    <x v="311"/>
    <n v="1002"/>
    <x v="0"/>
    <x v="311"/>
    <s v="matheus.alvarez"/>
    <x v="304"/>
    <n v="39064996"/>
    <m/>
    <m/>
    <n v="37984"/>
    <m/>
    <s v=""/>
    <n v="235"/>
    <x v="310"/>
    <x v="310"/>
    <n v="2053.8000000000002"/>
    <n v="286"/>
    <n v="789.6"/>
    <x v="19"/>
    <x v="1"/>
    <x v="4"/>
    <s v="Efetivo"/>
    <s v="N"/>
    <s v="Gerente"/>
    <s v="VON8953-TRW"/>
    <n v="58"/>
    <n v="14"/>
    <m/>
    <n v="22"/>
    <m/>
    <m/>
    <s v="011"/>
  </r>
  <r>
    <n v="313"/>
    <n v="577830399"/>
    <x v="312"/>
    <n v="7055"/>
    <x v="1"/>
    <x v="312"/>
    <s v="gabriel.pereira"/>
    <x v="305"/>
    <n v="29227658"/>
    <m/>
    <m/>
    <n v="40327"/>
    <m/>
    <d v="2011-08-03T00:00:00"/>
    <n v="187"/>
    <x v="311"/>
    <x v="311"/>
    <n v="1799"/>
    <n v="176"/>
    <n v="628.32000000000005"/>
    <x v="20"/>
    <x v="3"/>
    <x v="0"/>
    <s v="Terceiro"/>
    <s v="N"/>
    <s v="RH"/>
    <s v="ZEP1154-UVU"/>
    <n v="27"/>
    <n v="23"/>
    <m/>
    <n v="35"/>
    <m/>
    <m/>
    <s v="010"/>
  </r>
  <r>
    <n v="314"/>
    <n v="993812910"/>
    <x v="313"/>
    <n v="1384"/>
    <x v="1"/>
    <x v="313"/>
    <s v="igor.pinho"/>
    <x v="306"/>
    <n v="31028747"/>
    <m/>
    <m/>
    <n v="37018"/>
    <m/>
    <d v="2003-04-01T00:00:00"/>
    <n v="215"/>
    <x v="312"/>
    <x v="312"/>
    <n v="1114.6000000000001"/>
    <n v="286"/>
    <n v="722.4"/>
    <x v="6"/>
    <x v="2"/>
    <x v="3"/>
    <s v="Terceiro"/>
    <s v="N"/>
    <s v="RH"/>
    <s v="LVX9163-DCY"/>
    <n v="79"/>
    <n v="44"/>
    <m/>
    <n v="6"/>
    <m/>
    <m/>
    <s v="322"/>
  </r>
  <r>
    <n v="315"/>
    <n v="624470056"/>
    <x v="314"/>
    <n v="2515"/>
    <x v="1"/>
    <x v="314"/>
    <s v="jeferson.ramos"/>
    <x v="307"/>
    <n v="27864060"/>
    <m/>
    <m/>
    <n v="41396"/>
    <m/>
    <s v=""/>
    <n v="200"/>
    <x v="313"/>
    <x v="313"/>
    <n v="3764.4"/>
    <n v="242"/>
    <n v="672"/>
    <x v="7"/>
    <x v="3"/>
    <x v="2"/>
    <s v="Terceiro"/>
    <s v="N"/>
    <s v="RH"/>
    <s v="VFN8880-HWK"/>
    <n v="149"/>
    <n v="60"/>
    <m/>
    <n v="145"/>
    <m/>
    <m/>
    <s v="213"/>
  </r>
  <r>
    <n v="316"/>
    <n v="730391568"/>
    <x v="315"/>
    <n v="2243"/>
    <x v="1"/>
    <x v="315"/>
    <s v="ary.costa"/>
    <x v="308"/>
    <n v="33942826"/>
    <m/>
    <m/>
    <n v="38343"/>
    <m/>
    <d v="2005-11-06T00:00:00"/>
    <n v="167"/>
    <x v="314"/>
    <x v="314"/>
    <n v="1939.4"/>
    <n v="176"/>
    <n v="561.12"/>
    <x v="1"/>
    <x v="1"/>
    <x v="1"/>
    <s v="Efetivo"/>
    <s v="N"/>
    <s v="Gerente"/>
    <s v="TCG9843-OUN"/>
    <n v="75"/>
    <n v="53"/>
    <m/>
    <n v="190"/>
    <m/>
    <m/>
    <s v="545"/>
  </r>
  <r>
    <n v="317"/>
    <n v="736262825"/>
    <x v="316"/>
    <n v="6042"/>
    <x v="1"/>
    <x v="316"/>
    <s v="giulia.mattos"/>
    <x v="309"/>
    <n v="35674535"/>
    <m/>
    <m/>
    <n v="37322"/>
    <m/>
    <s v=""/>
    <n v="165"/>
    <x v="315"/>
    <x v="315"/>
    <n v="1549.6000000000001"/>
    <n v="220"/>
    <n v="554.4"/>
    <x v="24"/>
    <x v="0"/>
    <x v="4"/>
    <s v="Efetivo"/>
    <s v="S"/>
    <s v="Diretoria"/>
    <s v="JXN4244-BAG"/>
    <n v="40"/>
    <n v="52"/>
    <m/>
    <n v="29"/>
    <m/>
    <m/>
    <s v="011"/>
  </r>
  <r>
    <n v="318"/>
    <n v="367651731"/>
    <x v="317"/>
    <n v="6515"/>
    <x v="0"/>
    <x v="317"/>
    <s v="paulo.souza"/>
    <x v="310"/>
    <n v="24040827"/>
    <m/>
    <m/>
    <n v="41483"/>
    <m/>
    <d v="2018-01-05T00:00:00"/>
    <n v="238"/>
    <x v="316"/>
    <x v="316"/>
    <n v="4648.4000000000005"/>
    <n v="176"/>
    <n v="799.68"/>
    <x v="18"/>
    <x v="1"/>
    <x v="0"/>
    <s v="Efetivo"/>
    <s v="N"/>
    <s v="Gerente"/>
    <s v="VZI3018-ZMT"/>
    <n v="49"/>
    <n v="46"/>
    <m/>
    <n v="103"/>
    <m/>
    <m/>
    <s v="010"/>
  </r>
  <r>
    <n v="319"/>
    <n v="762705904"/>
    <x v="318"/>
    <n v="1314"/>
    <x v="1"/>
    <x v="318"/>
    <s v="mariana.barbosa"/>
    <x v="311"/>
    <n v="22390499"/>
    <m/>
    <m/>
    <n v="34318"/>
    <m/>
    <s v=""/>
    <n v="236"/>
    <x v="317"/>
    <x v="317"/>
    <n v="2035.6000000000001"/>
    <n v="220"/>
    <n v="792.96"/>
    <x v="11"/>
    <x v="3"/>
    <x v="4"/>
    <s v="Terceiro"/>
    <s v="N"/>
    <s v="RH"/>
    <s v="AYX7535-VCD"/>
    <n v="124"/>
    <n v="49"/>
    <m/>
    <n v="150"/>
    <m/>
    <m/>
    <s v="011"/>
  </r>
  <r>
    <n v="320"/>
    <n v="890991369"/>
    <x v="319"/>
    <n v="1277"/>
    <x v="1"/>
    <x v="319"/>
    <s v="aline.silva"/>
    <x v="312"/>
    <n v="47627525"/>
    <m/>
    <m/>
    <n v="42229"/>
    <m/>
    <s v=""/>
    <n v="221"/>
    <x v="318"/>
    <x v="318"/>
    <n v="802"/>
    <n v="308"/>
    <n v="742.56"/>
    <x v="18"/>
    <x v="1"/>
    <x v="0"/>
    <s v="Efetivo"/>
    <s v="N"/>
    <s v="Gerente"/>
    <s v="XTQ5141-ILI"/>
    <n v="67"/>
    <n v="44"/>
    <m/>
    <n v="120"/>
    <m/>
    <m/>
    <s v="010"/>
  </r>
  <r>
    <n v="321"/>
    <n v="795644162"/>
    <x v="320"/>
    <n v="1321"/>
    <x v="1"/>
    <x v="320"/>
    <s v="bruna.varela"/>
    <x v="313"/>
    <n v="21544468"/>
    <m/>
    <m/>
    <n v="41756"/>
    <m/>
    <s v=""/>
    <n v="236"/>
    <x v="319"/>
    <x v="319"/>
    <n v="4170.8"/>
    <n v="242"/>
    <n v="792.96"/>
    <x v="14"/>
    <x v="3"/>
    <x v="3"/>
    <s v="Terceiro"/>
    <s v="N"/>
    <s v="RH"/>
    <s v="LPK5034-HQO"/>
    <n v="72"/>
    <n v="14"/>
    <m/>
    <n v="22"/>
    <m/>
    <m/>
    <s v="322"/>
  </r>
  <r>
    <n v="322"/>
    <n v="404264948"/>
    <x v="321"/>
    <n v="6428"/>
    <x v="0"/>
    <x v="321"/>
    <s v="luiza.pereira"/>
    <x v="314"/>
    <n v="35138602"/>
    <m/>
    <m/>
    <n v="42436"/>
    <m/>
    <s v=""/>
    <n v="204"/>
    <x v="320"/>
    <x v="320"/>
    <n v="2897.6000000000004"/>
    <n v="308"/>
    <n v="685.44"/>
    <x v="9"/>
    <x v="1"/>
    <x v="3"/>
    <s v="Efetivo"/>
    <s v="N"/>
    <s v="Gerente"/>
    <s v="SSR5237-ZUW"/>
    <n v="109"/>
    <n v="48"/>
    <m/>
    <n v="60"/>
    <m/>
    <m/>
    <s v="322"/>
  </r>
  <r>
    <n v="323"/>
    <n v="475877138"/>
    <x v="322"/>
    <n v="1936"/>
    <x v="0"/>
    <x v="322"/>
    <s v="rafael.sousa"/>
    <x v="315"/>
    <n v="46651310"/>
    <m/>
    <m/>
    <n v="42854"/>
    <m/>
    <s v=""/>
    <n v="179"/>
    <x v="321"/>
    <x v="321"/>
    <n v="3911.4"/>
    <n v="264"/>
    <n v="601.44000000000005"/>
    <x v="2"/>
    <x v="1"/>
    <x v="2"/>
    <s v="Efetivo"/>
    <s v="N"/>
    <s v="Gerente"/>
    <s v="KLQ3683-XYV"/>
    <n v="108"/>
    <n v="33"/>
    <m/>
    <n v="72"/>
    <m/>
    <m/>
    <s v="213"/>
  </r>
  <r>
    <n v="324"/>
    <n v="314850065"/>
    <x v="323"/>
    <n v="7247"/>
    <x v="1"/>
    <x v="323"/>
    <s v="camila.ivo"/>
    <x v="316"/>
    <n v="41940856"/>
    <m/>
    <m/>
    <n v="42387"/>
    <m/>
    <s v=""/>
    <n v="207"/>
    <x v="322"/>
    <x v="322"/>
    <n v="4347.4000000000005"/>
    <n v="242"/>
    <n v="695.52"/>
    <x v="9"/>
    <x v="1"/>
    <x v="3"/>
    <s v="Efetivo"/>
    <s v="N"/>
    <s v="Gerente"/>
    <s v="LEE6645-MII"/>
    <n v="143"/>
    <n v="28"/>
    <m/>
    <n v="94"/>
    <m/>
    <m/>
    <s v="322"/>
  </r>
  <r>
    <n v="325"/>
    <n v="290314522"/>
    <x v="324"/>
    <n v="2723"/>
    <x v="0"/>
    <x v="324"/>
    <s v="karine.chagas"/>
    <x v="317"/>
    <n v="37328172"/>
    <m/>
    <m/>
    <n v="43077"/>
    <m/>
    <s v=""/>
    <n v="201"/>
    <x v="323"/>
    <x v="323"/>
    <n v="2140"/>
    <n v="242"/>
    <n v="675.36"/>
    <x v="20"/>
    <x v="3"/>
    <x v="0"/>
    <s v="Terceiro"/>
    <s v="N"/>
    <s v="RH"/>
    <s v="BEH7740-SHK"/>
    <n v="120"/>
    <n v="20"/>
    <m/>
    <n v="94"/>
    <m/>
    <m/>
    <s v="010"/>
  </r>
  <r>
    <n v="326"/>
    <n v="854946018"/>
    <x v="325"/>
    <n v="5996"/>
    <x v="0"/>
    <x v="325"/>
    <s v="myllena.nacif"/>
    <x v="318"/>
    <n v="21110416"/>
    <m/>
    <m/>
    <n v="40823"/>
    <m/>
    <s v=""/>
    <n v="169"/>
    <x v="324"/>
    <x v="324"/>
    <n v="233.20000000000002"/>
    <n v="220"/>
    <n v="567.84"/>
    <x v="10"/>
    <x v="3"/>
    <x v="1"/>
    <s v="Terceiro"/>
    <s v="N"/>
    <s v="RH"/>
    <s v="IZD1326-PYV"/>
    <n v="97"/>
    <n v="6"/>
    <m/>
    <n v="185"/>
    <m/>
    <m/>
    <s v="545"/>
  </r>
  <r>
    <n v="327"/>
    <n v="810415710"/>
    <x v="326"/>
    <n v="3239"/>
    <x v="0"/>
    <x v="326"/>
    <s v="flávio.barbosa"/>
    <x v="319"/>
    <n v="42642844"/>
    <m/>
    <m/>
    <n v="40213"/>
    <m/>
    <s v=""/>
    <n v="224"/>
    <x v="325"/>
    <x v="325"/>
    <n v="4839.8"/>
    <n v="242"/>
    <n v="752.64"/>
    <x v="3"/>
    <x v="2"/>
    <x v="2"/>
    <s v="Terceiro"/>
    <s v="N"/>
    <s v="RH"/>
    <s v="NWU5035-HRZ"/>
    <n v="78"/>
    <n v="37"/>
    <m/>
    <n v="190"/>
    <m/>
    <m/>
    <s v="213"/>
  </r>
  <r>
    <n v="328"/>
    <n v="828816861"/>
    <x v="327"/>
    <n v="5025"/>
    <x v="0"/>
    <x v="327"/>
    <s v="igor.feijo"/>
    <x v="320"/>
    <n v="26895323"/>
    <m/>
    <m/>
    <n v="42915"/>
    <m/>
    <s v=""/>
    <n v="190"/>
    <x v="326"/>
    <x v="326"/>
    <n v="844.40000000000009"/>
    <n v="242"/>
    <n v="638.4"/>
    <x v="6"/>
    <x v="2"/>
    <x v="3"/>
    <s v="Terceiro"/>
    <s v="N"/>
    <s v="RH"/>
    <s v="YCF9832-HFN"/>
    <n v="61"/>
    <n v="41"/>
    <m/>
    <n v="153"/>
    <m/>
    <m/>
    <s v="322"/>
  </r>
  <r>
    <n v="329"/>
    <n v="778112260"/>
    <x v="328"/>
    <n v="5757"/>
    <x v="1"/>
    <x v="328"/>
    <s v="joão.silva"/>
    <x v="321"/>
    <n v="47928533"/>
    <m/>
    <m/>
    <n v="40586"/>
    <m/>
    <d v="2011-07-07T00:00:00"/>
    <n v="151"/>
    <x v="327"/>
    <x v="327"/>
    <n v="3881.6000000000004"/>
    <n v="264"/>
    <n v="507.36"/>
    <x v="19"/>
    <x v="1"/>
    <x v="4"/>
    <s v="Efetivo"/>
    <s v="N"/>
    <s v="Gerente"/>
    <s v="MZR4025-THH"/>
    <n v="65"/>
    <n v="31"/>
    <m/>
    <n v="186"/>
    <m/>
    <m/>
    <s v="011"/>
  </r>
  <r>
    <n v="330"/>
    <n v="574951790"/>
    <x v="329"/>
    <n v="5144"/>
    <x v="0"/>
    <x v="329"/>
    <s v="gabriela.costa"/>
    <x v="322"/>
    <n v="25217266"/>
    <m/>
    <m/>
    <n v="41073"/>
    <m/>
    <s v=""/>
    <n v="170"/>
    <x v="328"/>
    <x v="328"/>
    <n v="3156.2000000000003"/>
    <n v="308"/>
    <n v="571.19999999999993"/>
    <x v="23"/>
    <x v="0"/>
    <x v="1"/>
    <s v="Efetivo"/>
    <s v="S"/>
    <s v="Diretoria"/>
    <s v="BNJ4293-UZA"/>
    <n v="133"/>
    <n v="17"/>
    <m/>
    <n v="33"/>
    <m/>
    <m/>
    <s v="545"/>
  </r>
  <r>
    <n v="331"/>
    <n v="281548183"/>
    <x v="330"/>
    <n v="3275"/>
    <x v="1"/>
    <x v="330"/>
    <s v="jayme.carvalho"/>
    <x v="323"/>
    <n v="28644117"/>
    <m/>
    <m/>
    <n v="39854"/>
    <m/>
    <s v=""/>
    <n v="245"/>
    <x v="329"/>
    <x v="329"/>
    <n v="401"/>
    <n v="242"/>
    <n v="823.19999999999993"/>
    <x v="2"/>
    <x v="1"/>
    <x v="2"/>
    <s v="Efetivo"/>
    <s v="N"/>
    <s v="Gerente"/>
    <s v="BDL9590-SWP"/>
    <n v="143"/>
    <n v="50"/>
    <m/>
    <n v="125"/>
    <m/>
    <m/>
    <s v="213"/>
  </r>
  <r>
    <n v="332"/>
    <n v="552583141"/>
    <x v="331"/>
    <n v="3265"/>
    <x v="0"/>
    <x v="331"/>
    <s v="luíza.roussef"/>
    <x v="324"/>
    <n v="36195521"/>
    <m/>
    <m/>
    <n v="40214"/>
    <m/>
    <s v=""/>
    <n v="217"/>
    <x v="330"/>
    <x v="330"/>
    <n v="1272.4000000000001"/>
    <n v="308"/>
    <n v="729.12"/>
    <x v="2"/>
    <x v="1"/>
    <x v="2"/>
    <s v="Efetivo"/>
    <s v="N"/>
    <s v="Gerente"/>
    <s v="LKG2402-LJG"/>
    <n v="23"/>
    <n v="3"/>
    <m/>
    <n v="95"/>
    <m/>
    <m/>
    <s v="213"/>
  </r>
  <r>
    <n v="333"/>
    <n v="511128459"/>
    <x v="332"/>
    <n v="5033"/>
    <x v="1"/>
    <x v="332"/>
    <s v="juan.rosa"/>
    <x v="325"/>
    <n v="21941465"/>
    <m/>
    <m/>
    <n v="42471"/>
    <m/>
    <s v=""/>
    <n v="242"/>
    <x v="331"/>
    <x v="331"/>
    <n v="4274.8"/>
    <n v="176"/>
    <n v="813.12"/>
    <x v="18"/>
    <x v="1"/>
    <x v="0"/>
    <s v="Efetivo"/>
    <s v="N"/>
    <s v="Gerente"/>
    <s v="RCQ3120-YTQ"/>
    <n v="141"/>
    <n v="14"/>
    <m/>
    <n v="0"/>
    <m/>
    <m/>
    <s v="010"/>
  </r>
  <r>
    <n v="334"/>
    <n v="781980383"/>
    <x v="333"/>
    <n v="4517"/>
    <x v="1"/>
    <x v="333"/>
    <s v="ana.foly"/>
    <x v="326"/>
    <n v="40167104"/>
    <m/>
    <m/>
    <n v="42714"/>
    <m/>
    <s v=""/>
    <n v="164"/>
    <x v="332"/>
    <x v="332"/>
    <n v="3490.6000000000004"/>
    <n v="286"/>
    <n v="551.04"/>
    <x v="2"/>
    <x v="1"/>
    <x v="2"/>
    <s v="Efetivo"/>
    <s v="N"/>
    <s v="Gerente"/>
    <s v="DUR3603-QTI"/>
    <n v="134"/>
    <n v="8"/>
    <m/>
    <n v="1"/>
    <m/>
    <m/>
    <s v="213"/>
  </r>
  <r>
    <n v="335"/>
    <n v="350726442"/>
    <x v="334"/>
    <n v="7811"/>
    <x v="1"/>
    <x v="334"/>
    <s v="raquel.tavares"/>
    <x v="327"/>
    <n v="37353966"/>
    <m/>
    <m/>
    <n v="40966"/>
    <m/>
    <s v=""/>
    <n v="234"/>
    <x v="333"/>
    <x v="333"/>
    <n v="3123"/>
    <n v="198"/>
    <n v="786.24"/>
    <x v="20"/>
    <x v="3"/>
    <x v="0"/>
    <s v="Terceiro"/>
    <s v="N"/>
    <s v="RH"/>
    <s v="WRN4923-RPX"/>
    <n v="113"/>
    <n v="40"/>
    <m/>
    <n v="135"/>
    <m/>
    <m/>
    <s v="010"/>
  </r>
  <r>
    <n v="336"/>
    <n v="817723147"/>
    <x v="335"/>
    <n v="3841"/>
    <x v="1"/>
    <x v="335"/>
    <s v="raphael.rodrigues"/>
    <x v="328"/>
    <n v="27065880"/>
    <m/>
    <m/>
    <n v="34160"/>
    <m/>
    <s v=""/>
    <n v="192"/>
    <x v="334"/>
    <x v="334"/>
    <n v="4905.8"/>
    <n v="264"/>
    <n v="645.12"/>
    <x v="11"/>
    <x v="3"/>
    <x v="4"/>
    <s v="Terceiro"/>
    <s v="N"/>
    <s v="RH"/>
    <s v="CKP1443-NJS"/>
    <n v="147"/>
    <n v="28"/>
    <m/>
    <n v="5"/>
    <m/>
    <m/>
    <s v="011"/>
  </r>
  <r>
    <n v="337"/>
    <n v="422816469"/>
    <x v="336"/>
    <n v="6765"/>
    <x v="0"/>
    <x v="336"/>
    <s v="carolina.almeida"/>
    <x v="329"/>
    <n v="31970922"/>
    <m/>
    <m/>
    <n v="39920"/>
    <m/>
    <s v=""/>
    <n v="184"/>
    <x v="335"/>
    <x v="335"/>
    <n v="972.80000000000007"/>
    <n v="308"/>
    <n v="618.24"/>
    <x v="14"/>
    <x v="3"/>
    <x v="3"/>
    <s v="Terceiro"/>
    <s v="N"/>
    <s v="RH"/>
    <s v="FIR9550-NPZ"/>
    <n v="143"/>
    <n v="0"/>
    <m/>
    <n v="51"/>
    <m/>
    <m/>
    <s v="322"/>
  </r>
  <r>
    <n v="338"/>
    <n v="936325945"/>
    <x v="337"/>
    <n v="4852"/>
    <x v="1"/>
    <x v="337"/>
    <s v="eduardo.leme"/>
    <x v="330"/>
    <n v="44171824"/>
    <m/>
    <m/>
    <n v="42767"/>
    <m/>
    <s v=""/>
    <n v="188"/>
    <x v="336"/>
    <x v="336"/>
    <n v="4482"/>
    <n v="176"/>
    <n v="631.67999999999995"/>
    <x v="4"/>
    <x v="2"/>
    <x v="0"/>
    <s v="Terceiro"/>
    <s v="N"/>
    <s v="RH"/>
    <s v="FYR4855-YXJ"/>
    <n v="143"/>
    <n v="27"/>
    <m/>
    <n v="188"/>
    <m/>
    <m/>
    <s v="010"/>
  </r>
  <r>
    <n v="339"/>
    <n v="783537646"/>
    <x v="338"/>
    <n v="6187"/>
    <x v="1"/>
    <x v="338"/>
    <s v="rodrigo.funcke"/>
    <x v="331"/>
    <n v="36571944"/>
    <m/>
    <m/>
    <n v="40835"/>
    <m/>
    <d v="2018-01-05T00:00:00"/>
    <n v="223"/>
    <x v="337"/>
    <x v="337"/>
    <n v="266.40000000000003"/>
    <n v="176"/>
    <n v="749.28000000000009"/>
    <x v="8"/>
    <x v="4"/>
    <x v="1"/>
    <s v="Efetivo"/>
    <s v="S"/>
    <s v="Diretoria"/>
    <s v="UML5986-MWU"/>
    <n v="33"/>
    <n v="32"/>
    <m/>
    <n v="131"/>
    <m/>
    <m/>
    <s v="545"/>
  </r>
  <r>
    <n v="340"/>
    <n v="905415993"/>
    <x v="339"/>
    <n v="4098"/>
    <x v="1"/>
    <x v="339"/>
    <s v="rafaella.silva"/>
    <x v="332"/>
    <n v="23244211"/>
    <m/>
    <m/>
    <n v="36945"/>
    <m/>
    <s v=""/>
    <n v="184"/>
    <x v="338"/>
    <x v="338"/>
    <n v="883.80000000000007"/>
    <n v="198"/>
    <n v="618.24"/>
    <x v="19"/>
    <x v="1"/>
    <x v="4"/>
    <s v="Efetivo"/>
    <s v="N"/>
    <s v="Gerente"/>
    <s v="OHC4113-PMQ"/>
    <n v="100"/>
    <n v="54"/>
    <m/>
    <n v="7"/>
    <m/>
    <m/>
    <s v="011"/>
  </r>
  <r>
    <n v="341"/>
    <n v="167225119"/>
    <x v="340"/>
    <n v="2593"/>
    <x v="1"/>
    <x v="340"/>
    <s v="marta.oliveira"/>
    <x v="333"/>
    <n v="30675347"/>
    <m/>
    <m/>
    <n v="40172"/>
    <m/>
    <d v="2013-11-02T00:00:00"/>
    <n v="246"/>
    <x v="339"/>
    <x v="339"/>
    <n v="4949.4000000000005"/>
    <n v="242"/>
    <n v="826.56"/>
    <x v="4"/>
    <x v="2"/>
    <x v="0"/>
    <s v="Terceiro"/>
    <s v="N"/>
    <s v="RH"/>
    <s v="KDR5971-JUB"/>
    <n v="79"/>
    <n v="47"/>
    <m/>
    <n v="34"/>
    <m/>
    <m/>
    <s v="010"/>
  </r>
  <r>
    <n v="342"/>
    <n v="369626839"/>
    <x v="341"/>
    <n v="2754"/>
    <x v="1"/>
    <x v="341"/>
    <s v="alfredo.araujo"/>
    <x v="334"/>
    <n v="41735090"/>
    <m/>
    <m/>
    <n v="40635"/>
    <m/>
    <s v=""/>
    <n v="220"/>
    <x v="340"/>
    <x v="340"/>
    <n v="3206"/>
    <n v="198"/>
    <n v="739.19999999999993"/>
    <x v="7"/>
    <x v="3"/>
    <x v="2"/>
    <s v="Terceiro"/>
    <s v="N"/>
    <s v="RH"/>
    <s v="OIM6452-SJN"/>
    <n v="97"/>
    <n v="43"/>
    <m/>
    <n v="200"/>
    <m/>
    <m/>
    <s v="213"/>
  </r>
  <r>
    <n v="343"/>
    <n v="147598371"/>
    <x v="342"/>
    <n v="5980"/>
    <x v="1"/>
    <x v="342"/>
    <s v="audir.muniz"/>
    <x v="335"/>
    <n v="25263000"/>
    <m/>
    <m/>
    <n v="38744"/>
    <m/>
    <s v=""/>
    <n v="191"/>
    <x v="341"/>
    <x v="341"/>
    <n v="424.20000000000005"/>
    <n v="220"/>
    <n v="641.76"/>
    <x v="8"/>
    <x v="4"/>
    <x v="1"/>
    <s v="Efetivo"/>
    <s v="S"/>
    <s v="Diretoria"/>
    <s v="YEM8035-WOK"/>
    <n v="66"/>
    <n v="51"/>
    <m/>
    <n v="189"/>
    <m/>
    <m/>
    <s v="545"/>
  </r>
  <r>
    <n v="344"/>
    <n v="164912526"/>
    <x v="343"/>
    <n v="1018"/>
    <x v="1"/>
    <x v="343"/>
    <s v="matheus.monteiro"/>
    <x v="336"/>
    <n v="32734988"/>
    <m/>
    <m/>
    <n v="40857"/>
    <m/>
    <s v=""/>
    <n v="240"/>
    <x v="342"/>
    <x v="342"/>
    <n v="1103.4000000000001"/>
    <n v="176"/>
    <n v="806.4"/>
    <x v="19"/>
    <x v="1"/>
    <x v="4"/>
    <s v="Efetivo"/>
    <s v="N"/>
    <s v="Gerente"/>
    <s v="OYL4858-NRE"/>
    <n v="98"/>
    <n v="30"/>
    <m/>
    <n v="128"/>
    <m/>
    <m/>
    <s v="011"/>
  </r>
  <r>
    <n v="345"/>
    <n v="562363792"/>
    <x v="344"/>
    <n v="7391"/>
    <x v="1"/>
    <x v="344"/>
    <s v="marina.barbosa"/>
    <x v="337"/>
    <n v="44774280"/>
    <m/>
    <m/>
    <n v="39132"/>
    <m/>
    <s v=""/>
    <n v="242"/>
    <x v="343"/>
    <x v="343"/>
    <n v="777"/>
    <n v="308"/>
    <n v="813.12"/>
    <x v="6"/>
    <x v="2"/>
    <x v="3"/>
    <s v="Terceiro"/>
    <s v="N"/>
    <s v="RH"/>
    <s v="IXR3772-YDM"/>
    <n v="23"/>
    <n v="44"/>
    <m/>
    <n v="172"/>
    <m/>
    <m/>
    <s v="322"/>
  </r>
  <r>
    <n v="346"/>
    <n v="344055950"/>
    <x v="345"/>
    <n v="3996"/>
    <x v="0"/>
    <x v="345"/>
    <s v="thalles.teixeira"/>
    <x v="338"/>
    <n v="33297996"/>
    <m/>
    <m/>
    <n v="41885"/>
    <m/>
    <s v=""/>
    <n v="150"/>
    <x v="344"/>
    <x v="344"/>
    <n v="2185.8000000000002"/>
    <n v="154"/>
    <n v="504"/>
    <x v="9"/>
    <x v="1"/>
    <x v="3"/>
    <s v="Efetivo"/>
    <s v="N"/>
    <s v="Gerente"/>
    <s v="ZMU5174-QRQ"/>
    <n v="55"/>
    <n v="27"/>
    <m/>
    <n v="125"/>
    <m/>
    <m/>
    <s v="322"/>
  </r>
  <r>
    <n v="347"/>
    <n v="299620674"/>
    <x v="346"/>
    <n v="4036"/>
    <x v="0"/>
    <x v="346"/>
    <s v="daniel.santos"/>
    <x v="339"/>
    <n v="49294767"/>
    <m/>
    <m/>
    <n v="42301"/>
    <m/>
    <s v=""/>
    <n v="163"/>
    <x v="345"/>
    <x v="345"/>
    <n v="4741.6000000000004"/>
    <n v="220"/>
    <n v="547.67999999999995"/>
    <x v="2"/>
    <x v="1"/>
    <x v="2"/>
    <s v="Efetivo"/>
    <s v="N"/>
    <s v="Gerente"/>
    <s v="DKE9171-XKI"/>
    <n v="34"/>
    <n v="45"/>
    <m/>
    <n v="147"/>
    <m/>
    <m/>
    <s v="213"/>
  </r>
  <r>
    <n v="348"/>
    <n v="837235079"/>
    <x v="347"/>
    <n v="4521"/>
    <x v="1"/>
    <x v="347"/>
    <s v="suelen.regasso"/>
    <x v="340"/>
    <n v="44319416"/>
    <m/>
    <m/>
    <n v="42734"/>
    <m/>
    <d v="2018-01-05T00:00:00"/>
    <n v="236"/>
    <x v="346"/>
    <x v="346"/>
    <n v="2399.4"/>
    <n v="308"/>
    <n v="792.96"/>
    <x v="4"/>
    <x v="2"/>
    <x v="0"/>
    <s v="Terceiro"/>
    <s v="N"/>
    <s v="RH"/>
    <s v="DLL5481-NBE"/>
    <n v="37"/>
    <n v="32"/>
    <m/>
    <n v="111"/>
    <m/>
    <m/>
    <s v="010"/>
  </r>
  <r>
    <n v="349"/>
    <n v="965061898"/>
    <x v="348"/>
    <n v="1006"/>
    <x v="1"/>
    <x v="348"/>
    <s v="bruno.pereira"/>
    <x v="341"/>
    <n v="37648796"/>
    <m/>
    <m/>
    <n v="38218"/>
    <m/>
    <d v="2007-06-09T00:00:00"/>
    <n v="221"/>
    <x v="347"/>
    <x v="347"/>
    <n v="334.6"/>
    <n v="308"/>
    <n v="742.56"/>
    <x v="8"/>
    <x v="4"/>
    <x v="1"/>
    <s v="Efetivo"/>
    <s v="S"/>
    <s v="Diretoria"/>
    <s v="MRQ2291-CDU"/>
    <n v="85"/>
    <n v="13"/>
    <m/>
    <n v="104"/>
    <m/>
    <m/>
    <s v="545"/>
  </r>
  <r>
    <n v="350"/>
    <n v="672661371"/>
    <x v="349"/>
    <n v="1152"/>
    <x v="0"/>
    <x v="349"/>
    <s v="eduardo.cunha"/>
    <x v="342"/>
    <n v="41083214"/>
    <m/>
    <m/>
    <n v="39061"/>
    <m/>
    <s v=""/>
    <n v="236"/>
    <x v="348"/>
    <x v="348"/>
    <n v="3128"/>
    <n v="264"/>
    <n v="792.96"/>
    <x v="10"/>
    <x v="3"/>
    <x v="1"/>
    <s v="Terceiro"/>
    <s v="N"/>
    <s v="RH"/>
    <s v="PRA4193-GXT"/>
    <n v="64"/>
    <n v="59"/>
    <m/>
    <n v="9"/>
    <m/>
    <m/>
    <s v="545"/>
  </r>
  <r>
    <n v="351"/>
    <n v="470486601"/>
    <x v="350"/>
    <n v="1641"/>
    <x v="0"/>
    <x v="350"/>
    <s v="lorena.freire"/>
    <x v="343"/>
    <n v="46976183"/>
    <m/>
    <m/>
    <n v="40670"/>
    <m/>
    <d v="2018-01-05T00:00:00"/>
    <n v="209"/>
    <x v="349"/>
    <x v="349"/>
    <n v="1895.8000000000002"/>
    <n v="242"/>
    <n v="702.24"/>
    <x v="19"/>
    <x v="1"/>
    <x v="4"/>
    <s v="Efetivo"/>
    <s v="N"/>
    <s v="Gerente"/>
    <s v="KGH5533-UDE"/>
    <n v="37"/>
    <n v="34"/>
    <m/>
    <n v="168"/>
    <m/>
    <m/>
    <s v="011"/>
  </r>
  <r>
    <n v="352"/>
    <n v="182819307"/>
    <x v="351"/>
    <n v="2827"/>
    <x v="1"/>
    <x v="351"/>
    <s v="joão.viana"/>
    <x v="344"/>
    <n v="38071737"/>
    <m/>
    <m/>
    <n v="35198"/>
    <m/>
    <s v=""/>
    <n v="236"/>
    <x v="350"/>
    <x v="350"/>
    <n v="1566.4"/>
    <n v="286"/>
    <n v="792.96"/>
    <x v="21"/>
    <x v="4"/>
    <x v="2"/>
    <s v="Efetivo"/>
    <s v="S"/>
    <s v="RH"/>
    <s v="QSG2376-YNW"/>
    <n v="21"/>
    <n v="60"/>
    <m/>
    <n v="88"/>
    <m/>
    <m/>
    <s v="213"/>
  </r>
  <r>
    <n v="353"/>
    <n v="719703067"/>
    <x v="352"/>
    <n v="6778"/>
    <x v="0"/>
    <x v="352"/>
    <s v="pedro.helal"/>
    <x v="345"/>
    <n v="32763776"/>
    <m/>
    <m/>
    <n v="36286"/>
    <m/>
    <s v=""/>
    <n v="225"/>
    <x v="351"/>
    <x v="351"/>
    <n v="4383.8"/>
    <n v="220"/>
    <n v="756"/>
    <x v="14"/>
    <x v="3"/>
    <x v="3"/>
    <s v="Terceiro"/>
    <s v="N"/>
    <s v="RH"/>
    <s v="KVV5843-ZWR"/>
    <n v="92"/>
    <n v="42"/>
    <m/>
    <n v="157"/>
    <m/>
    <m/>
    <s v="322"/>
  </r>
  <r>
    <n v="354"/>
    <n v="650342478"/>
    <x v="353"/>
    <n v="4178"/>
    <x v="1"/>
    <x v="353"/>
    <s v="ana.ladogano"/>
    <x v="346"/>
    <n v="40154642"/>
    <m/>
    <m/>
    <n v="40168"/>
    <m/>
    <s v=""/>
    <n v="250"/>
    <x v="352"/>
    <x v="352"/>
    <n v="3227.2000000000003"/>
    <n v="176"/>
    <n v="840"/>
    <x v="16"/>
    <x v="4"/>
    <x v="0"/>
    <s v="Efetivo"/>
    <s v="S"/>
    <s v="RH"/>
    <s v="TXU9393-LRD"/>
    <n v="41"/>
    <n v="43"/>
    <m/>
    <n v="166"/>
    <m/>
    <m/>
    <s v="010"/>
  </r>
  <r>
    <n v="355"/>
    <n v="771948938"/>
    <x v="354"/>
    <n v="3989"/>
    <x v="0"/>
    <x v="354"/>
    <s v="igor.perdomo"/>
    <x v="347"/>
    <n v="32613748"/>
    <m/>
    <m/>
    <n v="35422"/>
    <m/>
    <s v=""/>
    <n v="213"/>
    <x v="353"/>
    <x v="353"/>
    <n v="3183.4"/>
    <n v="176"/>
    <n v="715.68"/>
    <x v="11"/>
    <x v="3"/>
    <x v="4"/>
    <s v="Terceiro"/>
    <s v="N"/>
    <s v="RH"/>
    <s v="XSI5504-SLX"/>
    <n v="141"/>
    <n v="17"/>
    <m/>
    <n v="50"/>
    <m/>
    <m/>
    <s v="011"/>
  </r>
  <r>
    <n v="356"/>
    <n v="244575842"/>
    <x v="355"/>
    <n v="5970"/>
    <x v="0"/>
    <x v="355"/>
    <s v="mariana.bach"/>
    <x v="348"/>
    <n v="20880239"/>
    <m/>
    <m/>
    <n v="33798"/>
    <m/>
    <d v="1995-08-06T00:00:00"/>
    <n v="250"/>
    <x v="354"/>
    <x v="354"/>
    <n v="770.80000000000007"/>
    <n v="198"/>
    <n v="840"/>
    <x v="9"/>
    <x v="1"/>
    <x v="3"/>
    <s v="Efetivo"/>
    <s v="N"/>
    <s v="Gerente"/>
    <s v="IJZ9204-CMO"/>
    <n v="73"/>
    <n v="31"/>
    <m/>
    <n v="21"/>
    <m/>
    <m/>
    <s v="322"/>
  </r>
  <r>
    <n v="357"/>
    <n v="715451906"/>
    <x v="356"/>
    <n v="1306"/>
    <x v="0"/>
    <x v="356"/>
    <s v="rachel.ferreira"/>
    <x v="349"/>
    <n v="27561481"/>
    <m/>
    <m/>
    <n v="39118"/>
    <m/>
    <s v=""/>
    <n v="184"/>
    <x v="355"/>
    <x v="355"/>
    <n v="2953.6000000000004"/>
    <n v="242"/>
    <n v="618.24"/>
    <x v="12"/>
    <x v="4"/>
    <x v="4"/>
    <s v="Efetivo"/>
    <s v="S"/>
    <s v="Diretoria"/>
    <s v="SQS6942-LXC"/>
    <n v="109"/>
    <n v="50"/>
    <m/>
    <n v="22"/>
    <m/>
    <m/>
    <s v="011"/>
  </r>
  <r>
    <n v="358"/>
    <n v="943474202"/>
    <x v="357"/>
    <n v="6148"/>
    <x v="0"/>
    <x v="357"/>
    <s v="cynthia.mercês"/>
    <x v="350"/>
    <n v="24061215"/>
    <m/>
    <m/>
    <n v="35499"/>
    <m/>
    <s v=""/>
    <n v="239"/>
    <x v="356"/>
    <x v="356"/>
    <n v="3898.6000000000004"/>
    <n v="198"/>
    <n v="803.04"/>
    <x v="7"/>
    <x v="3"/>
    <x v="2"/>
    <s v="Terceiro"/>
    <s v="N"/>
    <s v="RH"/>
    <s v="NCC5687-TCL"/>
    <n v="121"/>
    <n v="10"/>
    <m/>
    <n v="120"/>
    <m/>
    <m/>
    <s v="213"/>
  </r>
  <r>
    <n v="359"/>
    <n v="839007685"/>
    <x v="358"/>
    <n v="2173"/>
    <x v="0"/>
    <x v="358"/>
    <s v="pedro.bernhardt"/>
    <x v="351"/>
    <n v="36777265"/>
    <m/>
    <m/>
    <n v="35943"/>
    <m/>
    <s v=""/>
    <n v="189"/>
    <x v="357"/>
    <x v="357"/>
    <n v="1055.8"/>
    <n v="220"/>
    <n v="635.04"/>
    <x v="20"/>
    <x v="3"/>
    <x v="0"/>
    <s v="Terceiro"/>
    <s v="N"/>
    <s v="RH"/>
    <s v="FWV9633-YJL"/>
    <n v="117"/>
    <n v="33"/>
    <m/>
    <n v="64"/>
    <m/>
    <m/>
    <s v="010"/>
  </r>
  <r>
    <n v="360"/>
    <n v="209099797"/>
    <x v="359"/>
    <n v="4847"/>
    <x v="0"/>
    <x v="359"/>
    <s v="lucas.cecilia"/>
    <x v="166"/>
    <n v="28751567"/>
    <m/>
    <m/>
    <n v="43064"/>
    <m/>
    <s v=""/>
    <n v="191"/>
    <x v="358"/>
    <x v="358"/>
    <n v="3007.2000000000003"/>
    <n v="154"/>
    <n v="641.76"/>
    <x v="9"/>
    <x v="1"/>
    <x v="3"/>
    <s v="Efetivo"/>
    <s v="N"/>
    <s v="Gerente"/>
    <s v="JLM3098-QXA"/>
    <n v="104"/>
    <n v="47"/>
    <m/>
    <n v="172"/>
    <m/>
    <m/>
    <s v="322"/>
  </r>
  <r>
    <n v="361"/>
    <n v="953759176"/>
    <x v="360"/>
    <n v="2613"/>
    <x v="1"/>
    <x v="360"/>
    <s v="rhuan.hollander"/>
    <x v="352"/>
    <n v="49914331"/>
    <m/>
    <m/>
    <n v="41149"/>
    <m/>
    <s v=""/>
    <n v="221"/>
    <x v="359"/>
    <x v="359"/>
    <n v="4164.4000000000005"/>
    <n v="220"/>
    <n v="742.56"/>
    <x v="0"/>
    <x v="0"/>
    <x v="0"/>
    <s v="Efetivo"/>
    <s v="S"/>
    <s v="Diretoria"/>
    <s v="VHY2477-UYC"/>
    <n v="98"/>
    <n v="47"/>
    <m/>
    <n v="81"/>
    <m/>
    <m/>
    <s v="010"/>
  </r>
  <r>
    <n v="362"/>
    <n v="613806497"/>
    <x v="361"/>
    <n v="3156"/>
    <x v="0"/>
    <x v="361"/>
    <s v="juliana.stockler"/>
    <x v="323"/>
    <n v="46929762"/>
    <m/>
    <m/>
    <n v="41772"/>
    <m/>
    <s v=""/>
    <n v="243"/>
    <x v="360"/>
    <x v="360"/>
    <n v="269.60000000000002"/>
    <n v="154"/>
    <n v="816.48"/>
    <x v="11"/>
    <x v="3"/>
    <x v="4"/>
    <s v="Terceiro"/>
    <s v="N"/>
    <s v="RH"/>
    <s v="URJ3143-GLJ"/>
    <n v="118"/>
    <n v="54"/>
    <m/>
    <n v="29"/>
    <m/>
    <m/>
    <s v="011"/>
  </r>
  <r>
    <n v="363"/>
    <n v="733350120"/>
    <x v="362"/>
    <n v="6002"/>
    <x v="0"/>
    <x v="362"/>
    <s v="anderson.sampaio"/>
    <x v="353"/>
    <n v="30967138"/>
    <m/>
    <m/>
    <n v="37102"/>
    <m/>
    <s v=""/>
    <n v="161"/>
    <x v="361"/>
    <x v="361"/>
    <n v="733.6"/>
    <n v="264"/>
    <n v="540.96"/>
    <x v="17"/>
    <x v="2"/>
    <x v="4"/>
    <s v="Terceiro"/>
    <s v="N"/>
    <s v="RH"/>
    <s v="AMI7969-LAG"/>
    <n v="108"/>
    <n v="20"/>
    <m/>
    <n v="45"/>
    <m/>
    <m/>
    <s v="011"/>
  </r>
  <r>
    <n v="364"/>
    <n v="647387441"/>
    <x v="363"/>
    <n v="2804"/>
    <x v="0"/>
    <x v="363"/>
    <s v="marta.fahrnholz"/>
    <x v="354"/>
    <n v="48541368"/>
    <m/>
    <m/>
    <n v="38824"/>
    <m/>
    <s v=""/>
    <n v="231"/>
    <x v="127"/>
    <x v="127"/>
    <n v="4804.2"/>
    <n v="308"/>
    <n v="776.16"/>
    <x v="12"/>
    <x v="4"/>
    <x v="4"/>
    <s v="Efetivo"/>
    <s v="S"/>
    <s v="Diretoria"/>
    <s v="VDS4348-WQI"/>
    <n v="97"/>
    <n v="19"/>
    <m/>
    <n v="186"/>
    <m/>
    <m/>
    <s v="011"/>
  </r>
  <r>
    <n v="365"/>
    <n v="143799569"/>
    <x v="364"/>
    <n v="3756"/>
    <x v="1"/>
    <x v="364"/>
    <s v="maria.freire"/>
    <x v="355"/>
    <n v="41237328"/>
    <m/>
    <m/>
    <n v="42778"/>
    <m/>
    <d v="2018-01-05T00:00:00"/>
    <n v="196"/>
    <x v="362"/>
    <x v="362"/>
    <n v="487"/>
    <n v="176"/>
    <n v="658.56"/>
    <x v="23"/>
    <x v="0"/>
    <x v="1"/>
    <s v="Efetivo"/>
    <s v="S"/>
    <s v="Diretoria"/>
    <s v="WRD7730-JZN"/>
    <n v="143"/>
    <n v="3"/>
    <m/>
    <n v="54"/>
    <m/>
    <m/>
    <s v="545"/>
  </r>
  <r>
    <n v="366"/>
    <n v="311722917"/>
    <x v="365"/>
    <n v="5104"/>
    <x v="0"/>
    <x v="365"/>
    <s v="wendela.cunha"/>
    <x v="356"/>
    <n v="23063985"/>
    <m/>
    <m/>
    <n v="38485"/>
    <m/>
    <s v=""/>
    <n v="209"/>
    <x v="363"/>
    <x v="363"/>
    <n v="4260.2"/>
    <n v="176"/>
    <n v="702.24"/>
    <x v="3"/>
    <x v="2"/>
    <x v="2"/>
    <s v="Terceiro"/>
    <s v="N"/>
    <s v="RH"/>
    <s v="OMJ4500-BJG"/>
    <n v="42"/>
    <n v="45"/>
    <m/>
    <n v="198"/>
    <m/>
    <m/>
    <s v="213"/>
  </r>
  <r>
    <n v="367"/>
    <n v="950109542"/>
    <x v="366"/>
    <n v="7689"/>
    <x v="1"/>
    <x v="366"/>
    <s v="paula.ribeiro"/>
    <x v="357"/>
    <n v="49400523"/>
    <m/>
    <m/>
    <n v="37499"/>
    <m/>
    <s v=""/>
    <n v="179"/>
    <x v="364"/>
    <x v="364"/>
    <n v="229.20000000000002"/>
    <n v="264"/>
    <n v="601.44000000000005"/>
    <x v="19"/>
    <x v="1"/>
    <x v="4"/>
    <s v="Efetivo"/>
    <s v="N"/>
    <s v="Gerente"/>
    <s v="CJO4722-LXJ"/>
    <n v="142"/>
    <n v="34"/>
    <m/>
    <n v="185"/>
    <m/>
    <m/>
    <s v="011"/>
  </r>
  <r>
    <n v="368"/>
    <n v="103627432"/>
    <x v="367"/>
    <n v="4399"/>
    <x v="1"/>
    <x v="367"/>
    <s v="jeronimo.vianna"/>
    <x v="358"/>
    <n v="24979210"/>
    <m/>
    <m/>
    <n v="38176"/>
    <m/>
    <s v=""/>
    <n v="205"/>
    <x v="365"/>
    <x v="365"/>
    <n v="2594.2000000000003"/>
    <n v="198"/>
    <n v="688.80000000000007"/>
    <x v="16"/>
    <x v="4"/>
    <x v="0"/>
    <s v="Efetivo"/>
    <s v="S"/>
    <s v="RH"/>
    <s v="IQD7681-KRR"/>
    <n v="115"/>
    <n v="21"/>
    <m/>
    <n v="73"/>
    <m/>
    <m/>
    <s v="010"/>
  </r>
  <r>
    <n v="369"/>
    <n v="972274207"/>
    <x v="368"/>
    <n v="2043"/>
    <x v="0"/>
    <x v="368"/>
    <s v="larissa.pedrosa"/>
    <x v="359"/>
    <n v="45634061"/>
    <m/>
    <m/>
    <n v="42085"/>
    <m/>
    <s v=""/>
    <n v="229"/>
    <x v="366"/>
    <x v="366"/>
    <n v="3514.4"/>
    <n v="220"/>
    <n v="769.44"/>
    <x v="2"/>
    <x v="1"/>
    <x v="2"/>
    <s v="Efetivo"/>
    <s v="N"/>
    <s v="Gerente"/>
    <s v="XSR4690-VJK"/>
    <n v="148"/>
    <n v="35"/>
    <m/>
    <n v="11"/>
    <m/>
    <m/>
    <s v="213"/>
  </r>
  <r>
    <n v="370"/>
    <n v="527343101"/>
    <x v="369"/>
    <n v="7975"/>
    <x v="1"/>
    <x v="369"/>
    <s v="bárbara.rodrigues"/>
    <x v="360"/>
    <n v="36183737"/>
    <m/>
    <m/>
    <n v="42803"/>
    <m/>
    <d v="2018-01-05T00:00:00"/>
    <n v="201"/>
    <x v="367"/>
    <x v="367"/>
    <n v="1667.8000000000002"/>
    <n v="154"/>
    <n v="675.36"/>
    <x v="14"/>
    <x v="3"/>
    <x v="3"/>
    <s v="Terceiro"/>
    <s v="N"/>
    <s v="RH"/>
    <s v="QLW8867-MDK"/>
    <n v="140"/>
    <n v="26"/>
    <m/>
    <n v="103"/>
    <m/>
    <m/>
    <s v="322"/>
  </r>
  <r>
    <n v="371"/>
    <n v="794337813"/>
    <x v="370"/>
    <n v="7186"/>
    <x v="0"/>
    <x v="370"/>
    <s v="arthur.vaz"/>
    <x v="361"/>
    <n v="34337658"/>
    <m/>
    <m/>
    <n v="42768"/>
    <m/>
    <s v=""/>
    <n v="198"/>
    <x v="368"/>
    <x v="368"/>
    <n v="611.6"/>
    <n v="154"/>
    <n v="665.28000000000009"/>
    <x v="22"/>
    <x v="4"/>
    <x v="3"/>
    <s v="Efetivo"/>
    <s v="S"/>
    <s v="Diretoria"/>
    <s v="NPL3689-AVX"/>
    <n v="79"/>
    <n v="54"/>
    <m/>
    <n v="15"/>
    <m/>
    <m/>
    <s v="322"/>
  </r>
  <r>
    <n v="372"/>
    <n v="505643417"/>
    <x v="371"/>
    <n v="3738"/>
    <x v="1"/>
    <x v="371"/>
    <s v="matheus.rocha"/>
    <x v="362"/>
    <n v="45833260"/>
    <m/>
    <m/>
    <n v="38607"/>
    <m/>
    <d v="2009-07-16T00:00:00"/>
    <n v="191"/>
    <x v="369"/>
    <x v="369"/>
    <n v="495"/>
    <n v="220"/>
    <n v="641.76"/>
    <x v="1"/>
    <x v="1"/>
    <x v="1"/>
    <s v="Efetivo"/>
    <s v="N"/>
    <s v="Gerente"/>
    <s v="WZD4611-GHT"/>
    <n v="117"/>
    <n v="39"/>
    <m/>
    <n v="114"/>
    <m/>
    <m/>
    <s v="545"/>
  </r>
  <r>
    <n v="373"/>
    <n v="548307706"/>
    <x v="372"/>
    <n v="2084"/>
    <x v="1"/>
    <x v="372"/>
    <s v="roberta.procaci"/>
    <x v="363"/>
    <n v="47944593"/>
    <m/>
    <m/>
    <n v="39570"/>
    <m/>
    <s v=""/>
    <n v="226"/>
    <x v="370"/>
    <x v="370"/>
    <n v="3224.4"/>
    <n v="286"/>
    <n v="759.36"/>
    <x v="3"/>
    <x v="2"/>
    <x v="2"/>
    <s v="Terceiro"/>
    <s v="N"/>
    <s v="RH"/>
    <s v="KVN5164-WIS"/>
    <n v="20"/>
    <n v="36"/>
    <m/>
    <n v="87"/>
    <m/>
    <m/>
    <s v="213"/>
  </r>
  <r>
    <n v="374"/>
    <n v="733455815"/>
    <x v="373"/>
    <n v="5921"/>
    <x v="1"/>
    <x v="373"/>
    <s v="bernardo.oliveira"/>
    <x v="364"/>
    <n v="27469973"/>
    <m/>
    <m/>
    <n v="41928"/>
    <m/>
    <s v=""/>
    <n v="222"/>
    <x v="371"/>
    <x v="371"/>
    <n v="3459.4"/>
    <n v="264"/>
    <n v="745.92000000000007"/>
    <x v="20"/>
    <x v="3"/>
    <x v="0"/>
    <s v="Terceiro"/>
    <s v="N"/>
    <s v="RH"/>
    <s v="FAT1511-BUN"/>
    <n v="136"/>
    <n v="38"/>
    <m/>
    <n v="153"/>
    <m/>
    <m/>
    <s v="010"/>
  </r>
  <r>
    <n v="375"/>
    <n v="449984546"/>
    <x v="374"/>
    <n v="3828"/>
    <x v="0"/>
    <x v="374"/>
    <s v="ana.silva"/>
    <x v="365"/>
    <n v="49408388"/>
    <m/>
    <m/>
    <n v="36447"/>
    <m/>
    <s v=""/>
    <n v="166"/>
    <x v="372"/>
    <x v="372"/>
    <n v="2663"/>
    <n v="308"/>
    <n v="557.76"/>
    <x v="11"/>
    <x v="3"/>
    <x v="4"/>
    <s v="Terceiro"/>
    <s v="N"/>
    <s v="RH"/>
    <s v="IPH8389-PKD"/>
    <n v="72"/>
    <n v="59"/>
    <m/>
    <n v="48"/>
    <m/>
    <m/>
    <s v="011"/>
  </r>
  <r>
    <n v="376"/>
    <n v="682215767"/>
    <x v="375"/>
    <n v="5712"/>
    <x v="0"/>
    <x v="375"/>
    <s v="carolina.fontes"/>
    <x v="2"/>
    <n v="26046380"/>
    <m/>
    <m/>
    <n v="40039"/>
    <m/>
    <s v=""/>
    <n v="213"/>
    <x v="373"/>
    <x v="373"/>
    <n v="4083"/>
    <n v="176"/>
    <n v="715.68"/>
    <x v="17"/>
    <x v="2"/>
    <x v="4"/>
    <s v="Terceiro"/>
    <s v="N"/>
    <s v="RH"/>
    <s v="MPZ1159-IGE"/>
    <n v="52"/>
    <n v="41"/>
    <m/>
    <n v="161"/>
    <m/>
    <m/>
    <s v="011"/>
  </r>
  <r>
    <n v="377"/>
    <n v="666696541"/>
    <x v="376"/>
    <n v="2359"/>
    <x v="0"/>
    <x v="376"/>
    <s v="nathalia.rangel"/>
    <x v="366"/>
    <n v="26194926"/>
    <m/>
    <m/>
    <n v="37152"/>
    <m/>
    <s v=""/>
    <n v="158"/>
    <x v="374"/>
    <x v="374"/>
    <n v="367.40000000000003"/>
    <n v="308"/>
    <n v="530.88"/>
    <x v="15"/>
    <x v="2"/>
    <x v="1"/>
    <s v="Terceiro"/>
    <s v="N"/>
    <s v="RH"/>
    <s v="IRY6311-TWB"/>
    <n v="137"/>
    <n v="54"/>
    <m/>
    <n v="190"/>
    <m/>
    <m/>
    <s v="545"/>
  </r>
  <r>
    <n v="378"/>
    <n v="235395231"/>
    <x v="377"/>
    <n v="4857"/>
    <x v="1"/>
    <x v="377"/>
    <s v="patricia.jorge"/>
    <x v="367"/>
    <n v="36626997"/>
    <m/>
    <m/>
    <n v="39232"/>
    <m/>
    <d v="2013-04-21T00:00:00"/>
    <n v="178"/>
    <x v="375"/>
    <x v="375"/>
    <n v="4958.4000000000005"/>
    <n v="308"/>
    <n v="598.07999999999993"/>
    <x v="3"/>
    <x v="2"/>
    <x v="2"/>
    <s v="Terceiro"/>
    <s v="N"/>
    <s v="RH"/>
    <s v="ISS6168-MWX"/>
    <n v="107"/>
    <n v="38"/>
    <m/>
    <n v="137"/>
    <m/>
    <m/>
    <s v="213"/>
  </r>
  <r>
    <n v="379"/>
    <n v="379591878"/>
    <x v="378"/>
    <n v="1538"/>
    <x v="1"/>
    <x v="378"/>
    <s v="pedro.oliveira"/>
    <x v="368"/>
    <n v="38302922"/>
    <m/>
    <m/>
    <n v="34232"/>
    <m/>
    <s v=""/>
    <n v="229"/>
    <x v="376"/>
    <x v="376"/>
    <n v="3869.2000000000003"/>
    <n v="220"/>
    <n v="769.44"/>
    <x v="9"/>
    <x v="1"/>
    <x v="3"/>
    <s v="Efetivo"/>
    <s v="N"/>
    <s v="Gerente"/>
    <s v="TZX3370-PID"/>
    <n v="30"/>
    <n v="40"/>
    <m/>
    <n v="37"/>
    <m/>
    <m/>
    <s v="322"/>
  </r>
  <r>
    <n v="380"/>
    <n v="252064734"/>
    <x v="379"/>
    <n v="6486"/>
    <x v="1"/>
    <x v="379"/>
    <s v="marcelo.chaves"/>
    <x v="369"/>
    <n v="31496286"/>
    <m/>
    <m/>
    <n v="42445"/>
    <m/>
    <d v="2017-07-14T00:00:00"/>
    <n v="235"/>
    <x v="377"/>
    <x v="377"/>
    <n v="4869"/>
    <n v="198"/>
    <n v="789.6"/>
    <x v="5"/>
    <x v="0"/>
    <x v="3"/>
    <s v="Efetivo"/>
    <s v="S"/>
    <s v="Diretoria"/>
    <s v="FJL5218-YZE"/>
    <n v="124"/>
    <n v="21"/>
    <m/>
    <n v="168"/>
    <m/>
    <m/>
    <s v="322"/>
  </r>
  <r>
    <n v="381"/>
    <n v="202202068"/>
    <x v="380"/>
    <n v="6754"/>
    <x v="0"/>
    <x v="380"/>
    <s v="luiz.vasconcellos"/>
    <x v="370"/>
    <n v="34588621"/>
    <m/>
    <m/>
    <n v="40629"/>
    <m/>
    <s v=""/>
    <n v="227"/>
    <x v="278"/>
    <x v="278"/>
    <n v="4039.8"/>
    <n v="264"/>
    <n v="762.71999999999991"/>
    <x v="20"/>
    <x v="3"/>
    <x v="0"/>
    <s v="Terceiro"/>
    <s v="N"/>
    <s v="RH"/>
    <s v="PUM1294-OWR"/>
    <n v="66"/>
    <n v="34"/>
    <m/>
    <n v="79"/>
    <m/>
    <m/>
    <s v="010"/>
  </r>
  <r>
    <n v="382"/>
    <n v="286702047"/>
    <x v="381"/>
    <n v="7608"/>
    <x v="1"/>
    <x v="381"/>
    <s v="mariana.gullo"/>
    <x v="371"/>
    <n v="42421351"/>
    <m/>
    <m/>
    <n v="41319"/>
    <m/>
    <s v=""/>
    <n v="248"/>
    <x v="378"/>
    <x v="378"/>
    <n v="4651.8"/>
    <n v="308"/>
    <n v="833.28000000000009"/>
    <x v="22"/>
    <x v="4"/>
    <x v="3"/>
    <s v="Efetivo"/>
    <s v="S"/>
    <s v="Diretoria"/>
    <s v="BHZ3071-MOT"/>
    <n v="133"/>
    <n v="23"/>
    <m/>
    <n v="32"/>
    <m/>
    <m/>
    <s v="322"/>
  </r>
  <r>
    <n v="383"/>
    <n v="950393787"/>
    <x v="382"/>
    <n v="1447"/>
    <x v="0"/>
    <x v="382"/>
    <s v="joão.souza"/>
    <x v="372"/>
    <n v="32877709"/>
    <m/>
    <m/>
    <n v="39689"/>
    <m/>
    <s v=""/>
    <n v="189"/>
    <x v="379"/>
    <x v="379"/>
    <n v="1229.4000000000001"/>
    <n v="154"/>
    <n v="635.04"/>
    <x v="18"/>
    <x v="1"/>
    <x v="0"/>
    <s v="Efetivo"/>
    <s v="N"/>
    <s v="Gerente"/>
    <s v="XAX1021-ACC"/>
    <n v="51"/>
    <n v="54"/>
    <m/>
    <n v="173"/>
    <m/>
    <m/>
    <s v="010"/>
  </r>
  <r>
    <n v="384"/>
    <n v="347182372"/>
    <x v="383"/>
    <n v="3798"/>
    <x v="1"/>
    <x v="383"/>
    <s v="eugênio.souza"/>
    <x v="373"/>
    <n v="29643981"/>
    <m/>
    <m/>
    <n v="39640"/>
    <m/>
    <d v="2010-06-09T00:00:00"/>
    <n v="166"/>
    <x v="380"/>
    <x v="380"/>
    <n v="2506.2000000000003"/>
    <n v="264"/>
    <n v="557.76"/>
    <x v="2"/>
    <x v="1"/>
    <x v="2"/>
    <s v="Efetivo"/>
    <s v="N"/>
    <s v="Gerente"/>
    <s v="JOP6259-CLP"/>
    <n v="28"/>
    <n v="51"/>
    <m/>
    <n v="52"/>
    <m/>
    <m/>
    <s v="213"/>
  </r>
  <r>
    <n v="385"/>
    <n v="612830578"/>
    <x v="384"/>
    <n v="1137"/>
    <x v="1"/>
    <x v="384"/>
    <s v="vitor.carvalho"/>
    <x v="374"/>
    <n v="45345242"/>
    <m/>
    <m/>
    <n v="39685"/>
    <m/>
    <s v=""/>
    <n v="228"/>
    <x v="381"/>
    <x v="381"/>
    <n v="4188.8"/>
    <n v="308"/>
    <n v="766.07999999999993"/>
    <x v="19"/>
    <x v="1"/>
    <x v="4"/>
    <s v="Efetivo"/>
    <s v="N"/>
    <s v="Gerente"/>
    <s v="JFC5054-DPI"/>
    <n v="57"/>
    <n v="14"/>
    <m/>
    <n v="31"/>
    <m/>
    <m/>
    <s v="011"/>
  </r>
  <r>
    <n v="386"/>
    <n v="791757848"/>
    <x v="385"/>
    <n v="7299"/>
    <x v="1"/>
    <x v="385"/>
    <s v="tadeu.silveira"/>
    <x v="375"/>
    <n v="33457747"/>
    <m/>
    <m/>
    <n v="36021"/>
    <m/>
    <s v=""/>
    <n v="231"/>
    <x v="382"/>
    <x v="382"/>
    <n v="3377.8"/>
    <n v="220"/>
    <n v="776.16"/>
    <x v="18"/>
    <x v="1"/>
    <x v="0"/>
    <s v="Efetivo"/>
    <s v="N"/>
    <s v="Gerente"/>
    <s v="YNQ8935-SMV"/>
    <n v="40"/>
    <n v="31"/>
    <m/>
    <n v="35"/>
    <m/>
    <m/>
    <s v="010"/>
  </r>
  <r>
    <n v="387"/>
    <n v="566309079"/>
    <x v="386"/>
    <n v="2650"/>
    <x v="0"/>
    <x v="386"/>
    <s v="matheus.souza"/>
    <x v="376"/>
    <n v="30581505"/>
    <m/>
    <m/>
    <n v="37162"/>
    <m/>
    <s v=""/>
    <n v="221"/>
    <x v="383"/>
    <x v="383"/>
    <n v="4179.8"/>
    <n v="176"/>
    <n v="742.56"/>
    <x v="10"/>
    <x v="3"/>
    <x v="1"/>
    <s v="Terceiro"/>
    <s v="N"/>
    <s v="RH"/>
    <s v="GJL5909-QWH"/>
    <n v="143"/>
    <n v="0"/>
    <m/>
    <n v="47"/>
    <m/>
    <m/>
    <s v="545"/>
  </r>
  <r>
    <n v="388"/>
    <n v="417081592"/>
    <x v="387"/>
    <n v="7463"/>
    <x v="1"/>
    <x v="387"/>
    <s v="tainah.ramos"/>
    <x v="377"/>
    <n v="35359632"/>
    <m/>
    <m/>
    <n v="37863"/>
    <m/>
    <d v="2012-10-20T00:00:00"/>
    <n v="193"/>
    <x v="384"/>
    <x v="384"/>
    <n v="3396.4"/>
    <n v="308"/>
    <n v="648.48"/>
    <x v="13"/>
    <x v="0"/>
    <x v="2"/>
    <s v="Efetivo"/>
    <s v="S"/>
    <s v="Diretoria"/>
    <s v="YPN3732-VCL"/>
    <n v="101"/>
    <n v="0"/>
    <m/>
    <n v="146"/>
    <m/>
    <m/>
    <s v="213"/>
  </r>
  <r>
    <n v="389"/>
    <n v="886137812"/>
    <x v="388"/>
    <n v="6596"/>
    <x v="1"/>
    <x v="388"/>
    <s v="juan.assumpção"/>
    <x v="378"/>
    <n v="24510599"/>
    <m/>
    <m/>
    <n v="38617"/>
    <m/>
    <d v="2009-08-21T00:00:00"/>
    <n v="165"/>
    <x v="385"/>
    <x v="385"/>
    <n v="4446"/>
    <n v="198"/>
    <n v="554.4"/>
    <x v="11"/>
    <x v="3"/>
    <x v="4"/>
    <s v="Terceiro"/>
    <s v="N"/>
    <s v="RH"/>
    <s v="HYS1186-QEW"/>
    <n v="140"/>
    <n v="20"/>
    <m/>
    <n v="123"/>
    <m/>
    <m/>
    <s v="011"/>
  </r>
  <r>
    <n v="390"/>
    <n v="400093634"/>
    <x v="389"/>
    <n v="5646"/>
    <x v="1"/>
    <x v="389"/>
    <s v="lucas.guadagnino"/>
    <x v="379"/>
    <n v="25036496"/>
    <m/>
    <m/>
    <n v="40174"/>
    <m/>
    <s v=""/>
    <n v="150"/>
    <x v="386"/>
    <x v="386"/>
    <n v="1190.6000000000001"/>
    <n v="308"/>
    <n v="504"/>
    <x v="4"/>
    <x v="2"/>
    <x v="0"/>
    <s v="Terceiro"/>
    <s v="N"/>
    <s v="RH"/>
    <s v="KRX2714-JCP"/>
    <n v="139"/>
    <n v="50"/>
    <m/>
    <n v="92"/>
    <m/>
    <m/>
    <s v="010"/>
  </r>
  <r>
    <n v="391"/>
    <n v="709758623"/>
    <x v="390"/>
    <n v="7908"/>
    <x v="1"/>
    <x v="390"/>
    <s v="daniel.silveira"/>
    <x v="380"/>
    <n v="23316440"/>
    <m/>
    <m/>
    <n v="38311"/>
    <m/>
    <s v=""/>
    <n v="186"/>
    <x v="387"/>
    <x v="387"/>
    <n v="3092.8"/>
    <n v="220"/>
    <n v="624.96"/>
    <x v="18"/>
    <x v="1"/>
    <x v="0"/>
    <s v="Efetivo"/>
    <s v="N"/>
    <s v="Gerente"/>
    <s v="EUR7034-HYT"/>
    <n v="42"/>
    <n v="58"/>
    <m/>
    <n v="26"/>
    <m/>
    <m/>
    <s v="010"/>
  </r>
  <r>
    <n v="392"/>
    <n v="955598590"/>
    <x v="391"/>
    <n v="6420"/>
    <x v="0"/>
    <x v="391"/>
    <s v="carlos.amorim"/>
    <x v="381"/>
    <n v="26690488"/>
    <m/>
    <m/>
    <n v="41552"/>
    <m/>
    <s v=""/>
    <n v="162"/>
    <x v="388"/>
    <x v="388"/>
    <n v="2313.6"/>
    <n v="176"/>
    <n v="544.32000000000005"/>
    <x v="2"/>
    <x v="1"/>
    <x v="2"/>
    <s v="Efetivo"/>
    <s v="N"/>
    <s v="Gerente"/>
    <s v="OKE7134-WNZ"/>
    <n v="86"/>
    <n v="29"/>
    <m/>
    <n v="167"/>
    <m/>
    <m/>
    <s v="213"/>
  </r>
  <r>
    <n v="393"/>
    <n v="379135322"/>
    <x v="392"/>
    <n v="1072"/>
    <x v="1"/>
    <x v="392"/>
    <s v="flávio.garcia"/>
    <x v="382"/>
    <n v="34888967"/>
    <m/>
    <m/>
    <n v="36498"/>
    <m/>
    <d v="2006-04-07T00:00:00"/>
    <n v="168"/>
    <x v="389"/>
    <x v="389"/>
    <n v="1109"/>
    <n v="198"/>
    <n v="564.48"/>
    <x v="15"/>
    <x v="2"/>
    <x v="1"/>
    <s v="Terceiro"/>
    <s v="N"/>
    <s v="RH"/>
    <s v="QXW2144-EIS"/>
    <n v="34"/>
    <n v="45"/>
    <m/>
    <n v="155"/>
    <m/>
    <m/>
    <s v="545"/>
  </r>
  <r>
    <n v="394"/>
    <n v="903433992"/>
    <x v="393"/>
    <n v="1526"/>
    <x v="0"/>
    <x v="393"/>
    <s v="matheus.perdomo"/>
    <x v="383"/>
    <n v="49790838"/>
    <m/>
    <m/>
    <n v="38252"/>
    <m/>
    <s v=""/>
    <n v="187"/>
    <x v="390"/>
    <x v="390"/>
    <n v="1491.4"/>
    <n v="154"/>
    <n v="628.32000000000005"/>
    <x v="14"/>
    <x v="3"/>
    <x v="3"/>
    <s v="Terceiro"/>
    <s v="N"/>
    <s v="RH"/>
    <s v="VTG9961-QLP"/>
    <n v="65"/>
    <n v="12"/>
    <m/>
    <n v="59"/>
    <m/>
    <m/>
    <s v="322"/>
  </r>
  <r>
    <n v="395"/>
    <n v="446375131"/>
    <x v="394"/>
    <n v="6666"/>
    <x v="1"/>
    <x v="394"/>
    <s v="sarah.gomes"/>
    <x v="384"/>
    <n v="45270184"/>
    <m/>
    <m/>
    <n v="39861"/>
    <m/>
    <s v=""/>
    <n v="171"/>
    <x v="391"/>
    <x v="391"/>
    <n v="3327.4"/>
    <n v="308"/>
    <n v="574.55999999999995"/>
    <x v="6"/>
    <x v="2"/>
    <x v="3"/>
    <s v="Terceiro"/>
    <s v="N"/>
    <s v="RH"/>
    <s v="BQW9343-GZM"/>
    <n v="146"/>
    <n v="57"/>
    <m/>
    <n v="7"/>
    <m/>
    <m/>
    <s v="322"/>
  </r>
  <r>
    <n v="396"/>
    <n v="754210732"/>
    <x v="395"/>
    <n v="5223"/>
    <x v="1"/>
    <x v="395"/>
    <s v="bianca.aguiar"/>
    <x v="385"/>
    <n v="47814227"/>
    <m/>
    <m/>
    <n v="42434"/>
    <m/>
    <s v=""/>
    <n v="194"/>
    <x v="392"/>
    <x v="392"/>
    <n v="2820.2000000000003"/>
    <n v="242"/>
    <n v="651.84"/>
    <x v="3"/>
    <x v="2"/>
    <x v="2"/>
    <s v="Terceiro"/>
    <s v="N"/>
    <s v="RH"/>
    <s v="YEC1852-WTN"/>
    <n v="150"/>
    <n v="46"/>
    <m/>
    <n v="53"/>
    <m/>
    <m/>
    <s v="213"/>
  </r>
  <r>
    <n v="397"/>
    <n v="994059962"/>
    <x v="396"/>
    <n v="4368"/>
    <x v="1"/>
    <x v="396"/>
    <s v="renan.costa"/>
    <x v="386"/>
    <n v="42639598"/>
    <m/>
    <m/>
    <n v="40555"/>
    <m/>
    <d v="2012-07-08T00:00:00"/>
    <n v="187"/>
    <x v="393"/>
    <x v="393"/>
    <n v="3669.6000000000004"/>
    <n v="264"/>
    <n v="628.32000000000005"/>
    <x v="14"/>
    <x v="3"/>
    <x v="3"/>
    <s v="Terceiro"/>
    <s v="N"/>
    <s v="RH"/>
    <s v="KWS9951-JBR"/>
    <n v="58"/>
    <n v="57"/>
    <m/>
    <n v="196"/>
    <m/>
    <m/>
    <s v="322"/>
  </r>
  <r>
    <n v="398"/>
    <n v="772408887"/>
    <x v="397"/>
    <n v="7086"/>
    <x v="0"/>
    <x v="397"/>
    <s v="jeferson.mariano"/>
    <x v="387"/>
    <n v="22505160"/>
    <m/>
    <m/>
    <n v="42388"/>
    <m/>
    <d v="2018-01-05T00:00:00"/>
    <n v="161"/>
    <x v="394"/>
    <x v="394"/>
    <n v="1265.2"/>
    <n v="154"/>
    <n v="540.96"/>
    <x v="7"/>
    <x v="3"/>
    <x v="2"/>
    <s v="Terceiro"/>
    <s v="N"/>
    <s v="RH"/>
    <s v="KTQ3383-AZW"/>
    <n v="35"/>
    <n v="33"/>
    <m/>
    <n v="39"/>
    <m/>
    <m/>
    <s v="213"/>
  </r>
  <r>
    <n v="399"/>
    <n v="444437861"/>
    <x v="398"/>
    <n v="3897"/>
    <x v="0"/>
    <x v="398"/>
    <s v="saranna.pinheiro"/>
    <x v="305"/>
    <n v="22236777"/>
    <m/>
    <m/>
    <n v="40733"/>
    <m/>
    <s v=""/>
    <n v="161"/>
    <x v="395"/>
    <x v="395"/>
    <n v="1038.6000000000001"/>
    <n v="264"/>
    <n v="540.96"/>
    <x v="15"/>
    <x v="2"/>
    <x v="1"/>
    <s v="Terceiro"/>
    <s v="N"/>
    <s v="RH"/>
    <s v="NPT9819-NKV"/>
    <n v="30"/>
    <n v="32"/>
    <m/>
    <n v="185"/>
    <m/>
    <m/>
    <s v="545"/>
  </r>
  <r>
    <n v="400"/>
    <n v="844810884"/>
    <x v="399"/>
    <n v="2716"/>
    <x v="0"/>
    <x v="399"/>
    <s v="cynthia.ribeiro"/>
    <x v="388"/>
    <n v="49620644"/>
    <m/>
    <m/>
    <n v="41355"/>
    <m/>
    <s v=""/>
    <n v="228"/>
    <x v="396"/>
    <x v="396"/>
    <n v="4883.2"/>
    <n v="198"/>
    <n v="766.07999999999993"/>
    <x v="22"/>
    <x v="4"/>
    <x v="3"/>
    <s v="Efetivo"/>
    <s v="S"/>
    <s v="Diretoria"/>
    <s v="MMA8899-XAR"/>
    <n v="22"/>
    <n v="57"/>
    <m/>
    <n v="57"/>
    <m/>
    <m/>
    <s v="322"/>
  </r>
  <r>
    <n v="401"/>
    <n v="902928370"/>
    <x v="400"/>
    <n v="7390"/>
    <x v="0"/>
    <x v="400"/>
    <s v="gabriel.medina"/>
    <x v="389"/>
    <n v="30041740"/>
    <m/>
    <m/>
    <n v="40385"/>
    <m/>
    <d v="2010-12-13T00:00:00"/>
    <n v="214"/>
    <x v="397"/>
    <x v="397"/>
    <n v="2012.8000000000002"/>
    <n v="308"/>
    <n v="719.04"/>
    <x v="5"/>
    <x v="0"/>
    <x v="3"/>
    <s v="Efetivo"/>
    <s v="S"/>
    <s v="Diretoria"/>
    <s v="LPL7352-EJT"/>
    <n v="111"/>
    <n v="4"/>
    <m/>
    <n v="90"/>
    <m/>
    <m/>
    <s v="322"/>
  </r>
  <r>
    <n v="402"/>
    <n v="773983404"/>
    <x v="401"/>
    <n v="4097"/>
    <x v="0"/>
    <x v="401"/>
    <s v="marcello.rebouças"/>
    <x v="390"/>
    <n v="37326824"/>
    <m/>
    <m/>
    <n v="38504"/>
    <m/>
    <s v=""/>
    <n v="206"/>
    <x v="398"/>
    <x v="398"/>
    <n v="4919.4000000000005"/>
    <n v="176"/>
    <n v="692.16"/>
    <x v="18"/>
    <x v="1"/>
    <x v="0"/>
    <s v="Efetivo"/>
    <s v="N"/>
    <s v="Gerente"/>
    <s v="FQX5717-XJP"/>
    <n v="106"/>
    <n v="31"/>
    <m/>
    <n v="179"/>
    <m/>
    <m/>
    <s v="010"/>
  </r>
  <r>
    <n v="403"/>
    <n v="993321141"/>
    <x v="402"/>
    <n v="6742"/>
    <x v="0"/>
    <x v="402"/>
    <s v="gabriel.sousa"/>
    <x v="391"/>
    <n v="46861137"/>
    <m/>
    <m/>
    <n v="36124"/>
    <m/>
    <s v=""/>
    <n v="161"/>
    <x v="399"/>
    <x v="399"/>
    <n v="3846.6000000000004"/>
    <n v="242"/>
    <n v="540.96"/>
    <x v="7"/>
    <x v="3"/>
    <x v="2"/>
    <s v="Terceiro"/>
    <s v="N"/>
    <s v="RH"/>
    <s v="ZBU2158-FLC"/>
    <n v="129"/>
    <n v="58"/>
    <m/>
    <n v="131"/>
    <m/>
    <m/>
    <s v="213"/>
  </r>
  <r>
    <n v="404"/>
    <n v="839066393"/>
    <x v="403"/>
    <n v="1280"/>
    <x v="0"/>
    <x v="403"/>
    <s v="francyne.souza"/>
    <x v="392"/>
    <n v="27282530"/>
    <m/>
    <m/>
    <n v="36313"/>
    <m/>
    <s v=""/>
    <n v="250"/>
    <x v="400"/>
    <x v="400"/>
    <n v="3880.6000000000004"/>
    <n v="286"/>
    <n v="840"/>
    <x v="6"/>
    <x v="2"/>
    <x v="3"/>
    <s v="Terceiro"/>
    <s v="N"/>
    <s v="RH"/>
    <s v="GPO6446-ASO"/>
    <n v="46"/>
    <n v="46"/>
    <m/>
    <n v="77"/>
    <m/>
    <m/>
    <s v="322"/>
  </r>
  <r>
    <n v="405"/>
    <n v="947787453"/>
    <x v="404"/>
    <n v="5852"/>
    <x v="1"/>
    <x v="404"/>
    <s v="ana.bernardo"/>
    <x v="343"/>
    <n v="25655552"/>
    <m/>
    <m/>
    <n v="41997"/>
    <m/>
    <s v=""/>
    <n v="206"/>
    <x v="401"/>
    <x v="401"/>
    <n v="4113.2"/>
    <n v="220"/>
    <n v="692.16"/>
    <x v="19"/>
    <x v="1"/>
    <x v="4"/>
    <s v="Efetivo"/>
    <s v="N"/>
    <s v="Gerente"/>
    <s v="DBV3917-TJR"/>
    <n v="102"/>
    <n v="19"/>
    <m/>
    <n v="140"/>
    <m/>
    <m/>
    <s v="011"/>
  </r>
  <r>
    <n v="406"/>
    <n v="162654905"/>
    <x v="405"/>
    <n v="7962"/>
    <x v="1"/>
    <x v="405"/>
    <s v="carolina.racy"/>
    <x v="393"/>
    <n v="43733334"/>
    <m/>
    <m/>
    <n v="39392"/>
    <m/>
    <s v=""/>
    <n v="227"/>
    <x v="402"/>
    <x v="402"/>
    <n v="1206.8"/>
    <n v="308"/>
    <n v="762.71999999999991"/>
    <x v="2"/>
    <x v="1"/>
    <x v="2"/>
    <s v="Efetivo"/>
    <s v="N"/>
    <s v="Gerente"/>
    <s v="OLE3328-SRU"/>
    <n v="43"/>
    <n v="8"/>
    <m/>
    <n v="26"/>
    <m/>
    <m/>
    <s v="213"/>
  </r>
  <r>
    <n v="407"/>
    <n v="347765084"/>
    <x v="406"/>
    <n v="6761"/>
    <x v="1"/>
    <x v="406"/>
    <s v="matheus.rubio"/>
    <x v="394"/>
    <n v="30075072"/>
    <m/>
    <m/>
    <n v="41654"/>
    <m/>
    <d v="2018-01-05T00:00:00"/>
    <n v="165"/>
    <x v="403"/>
    <x v="403"/>
    <n v="4474.8"/>
    <n v="154"/>
    <n v="554.4"/>
    <x v="1"/>
    <x v="1"/>
    <x v="1"/>
    <s v="Efetivo"/>
    <s v="N"/>
    <s v="Gerente"/>
    <s v="WEI9861-VNI"/>
    <n v="79"/>
    <n v="36"/>
    <m/>
    <n v="183"/>
    <m/>
    <m/>
    <s v="545"/>
  </r>
  <r>
    <n v="408"/>
    <n v="811236996"/>
    <x v="407"/>
    <n v="3780"/>
    <x v="0"/>
    <x v="407"/>
    <s v="fernanda.rocha"/>
    <x v="395"/>
    <n v="47285154"/>
    <m/>
    <m/>
    <n v="42973"/>
    <m/>
    <s v=""/>
    <n v="189"/>
    <x v="404"/>
    <x v="404"/>
    <n v="1280.6000000000001"/>
    <n v="154"/>
    <n v="635.04"/>
    <x v="18"/>
    <x v="1"/>
    <x v="0"/>
    <s v="Efetivo"/>
    <s v="N"/>
    <s v="Gerente"/>
    <s v="JIC1426-WTJ"/>
    <n v="68"/>
    <n v="12"/>
    <m/>
    <n v="20"/>
    <m/>
    <m/>
    <s v="010"/>
  </r>
  <r>
    <n v="409"/>
    <n v="843186297"/>
    <x v="408"/>
    <n v="5428"/>
    <x v="1"/>
    <x v="408"/>
    <s v="gabriela.alves"/>
    <x v="396"/>
    <n v="45204678"/>
    <m/>
    <m/>
    <n v="42859"/>
    <m/>
    <s v=""/>
    <n v="162"/>
    <x v="405"/>
    <x v="405"/>
    <n v="1272.2"/>
    <n v="264"/>
    <n v="544.32000000000005"/>
    <x v="9"/>
    <x v="1"/>
    <x v="3"/>
    <s v="Efetivo"/>
    <s v="N"/>
    <s v="Gerente"/>
    <s v="ZAV7938-HDT"/>
    <n v="138"/>
    <n v="39"/>
    <m/>
    <n v="124"/>
    <m/>
    <m/>
    <s v="322"/>
  </r>
  <r>
    <n v="410"/>
    <n v="929223260"/>
    <x v="409"/>
    <n v="4279"/>
    <x v="0"/>
    <x v="409"/>
    <s v="caio.aversa"/>
    <x v="397"/>
    <n v="49159866"/>
    <m/>
    <m/>
    <n v="38643"/>
    <m/>
    <s v=""/>
    <n v="170"/>
    <x v="406"/>
    <x v="406"/>
    <n v="2804.2000000000003"/>
    <n v="220"/>
    <n v="571.19999999999993"/>
    <x v="24"/>
    <x v="0"/>
    <x v="4"/>
    <s v="Efetivo"/>
    <s v="S"/>
    <s v="Diretoria"/>
    <s v="OUS2149-FPH"/>
    <n v="76"/>
    <n v="23"/>
    <m/>
    <n v="3"/>
    <m/>
    <m/>
    <s v="011"/>
  </r>
  <r>
    <n v="411"/>
    <n v="464485545"/>
    <x v="410"/>
    <n v="2408"/>
    <x v="1"/>
    <x v="410"/>
    <s v="yuri.cruz"/>
    <x v="398"/>
    <n v="25031336"/>
    <m/>
    <m/>
    <n v="36789"/>
    <m/>
    <s v=""/>
    <n v="232"/>
    <x v="407"/>
    <x v="407"/>
    <n v="4749.4000000000005"/>
    <n v="176"/>
    <n v="779.52"/>
    <x v="24"/>
    <x v="0"/>
    <x v="4"/>
    <s v="Efetivo"/>
    <s v="S"/>
    <s v="Diretoria"/>
    <s v="PJM9512-VXH"/>
    <n v="73"/>
    <n v="16"/>
    <m/>
    <n v="111"/>
    <m/>
    <m/>
    <s v="011"/>
  </r>
  <r>
    <n v="412"/>
    <n v="153410587"/>
    <x v="411"/>
    <n v="7712"/>
    <x v="0"/>
    <x v="411"/>
    <s v="camilla.ferraz"/>
    <x v="399"/>
    <n v="41059560"/>
    <m/>
    <m/>
    <n v="40702"/>
    <m/>
    <d v="2013-04-13T00:00:00"/>
    <n v="153"/>
    <x v="408"/>
    <x v="408"/>
    <n v="338.40000000000003"/>
    <n v="220"/>
    <n v="514.07999999999993"/>
    <x v="15"/>
    <x v="2"/>
    <x v="1"/>
    <s v="Terceiro"/>
    <s v="N"/>
    <s v="RH"/>
    <s v="NQI2911-DFQ"/>
    <n v="60"/>
    <n v="27"/>
    <m/>
    <n v="170"/>
    <m/>
    <m/>
    <s v="545"/>
  </r>
  <r>
    <n v="413"/>
    <n v="390671095"/>
    <x v="412"/>
    <n v="3777"/>
    <x v="0"/>
    <x v="412"/>
    <s v="nathalia.eiras"/>
    <x v="400"/>
    <n v="24185391"/>
    <m/>
    <m/>
    <n v="41505"/>
    <m/>
    <s v=""/>
    <n v="205"/>
    <x v="409"/>
    <x v="409"/>
    <n v="1660.8000000000002"/>
    <n v="242"/>
    <n v="688.80000000000007"/>
    <x v="12"/>
    <x v="4"/>
    <x v="4"/>
    <s v="Efetivo"/>
    <s v="S"/>
    <s v="Diretoria"/>
    <s v="CED5201-YBX"/>
    <n v="37"/>
    <n v="31"/>
    <m/>
    <n v="170"/>
    <m/>
    <m/>
    <s v="011"/>
  </r>
  <r>
    <n v="414"/>
    <n v="598821192"/>
    <x v="413"/>
    <n v="5041"/>
    <x v="1"/>
    <x v="413"/>
    <s v="marianna.silva"/>
    <x v="401"/>
    <n v="32097757"/>
    <m/>
    <m/>
    <n v="37335"/>
    <m/>
    <s v=""/>
    <n v="220"/>
    <x v="410"/>
    <x v="410"/>
    <n v="4137.8"/>
    <n v="242"/>
    <n v="739.19999999999993"/>
    <x v="2"/>
    <x v="1"/>
    <x v="2"/>
    <s v="Efetivo"/>
    <s v="N"/>
    <s v="Gerente"/>
    <s v="EFW8857-QVN"/>
    <n v="136"/>
    <n v="9"/>
    <m/>
    <n v="166"/>
    <m/>
    <m/>
    <s v="213"/>
  </r>
  <r>
    <n v="415"/>
    <n v="436878791"/>
    <x v="414"/>
    <n v="6257"/>
    <x v="0"/>
    <x v="414"/>
    <s v="lucas.santos"/>
    <x v="402"/>
    <n v="45508595"/>
    <m/>
    <m/>
    <n v="41080"/>
    <m/>
    <s v=""/>
    <n v="208"/>
    <x v="411"/>
    <x v="411"/>
    <n v="1678.4"/>
    <n v="220"/>
    <n v="698.88"/>
    <x v="2"/>
    <x v="1"/>
    <x v="2"/>
    <s v="Efetivo"/>
    <s v="N"/>
    <s v="Gerente"/>
    <s v="PZH9261-TLA"/>
    <n v="47"/>
    <n v="12"/>
    <m/>
    <n v="132"/>
    <m/>
    <m/>
    <s v="213"/>
  </r>
  <r>
    <n v="416"/>
    <n v="114311291"/>
    <x v="415"/>
    <n v="1711"/>
    <x v="1"/>
    <x v="415"/>
    <s v="sarah.mamede"/>
    <x v="403"/>
    <n v="34019414"/>
    <m/>
    <m/>
    <n v="40323"/>
    <m/>
    <d v="2014-01-17T00:00:00"/>
    <n v="168"/>
    <x v="412"/>
    <x v="412"/>
    <n v="1129.2"/>
    <n v="198"/>
    <n v="564.48"/>
    <x v="24"/>
    <x v="0"/>
    <x v="4"/>
    <s v="Efetivo"/>
    <s v="S"/>
    <s v="Diretoria"/>
    <s v="FHC2107-NFM"/>
    <n v="122"/>
    <n v="42"/>
    <m/>
    <n v="190"/>
    <m/>
    <m/>
    <s v="011"/>
  </r>
  <r>
    <n v="417"/>
    <n v="997516185"/>
    <x v="416"/>
    <n v="2594"/>
    <x v="0"/>
    <x v="416"/>
    <s v="carolina.sagrillo"/>
    <x v="404"/>
    <n v="37364507"/>
    <m/>
    <m/>
    <n v="41614"/>
    <m/>
    <s v=""/>
    <n v="216"/>
    <x v="413"/>
    <x v="413"/>
    <n v="925.6"/>
    <n v="220"/>
    <n v="725.76"/>
    <x v="4"/>
    <x v="2"/>
    <x v="0"/>
    <s v="Terceiro"/>
    <s v="N"/>
    <s v="RH"/>
    <s v="PPA8052-JLL"/>
    <n v="61"/>
    <n v="2"/>
    <m/>
    <n v="186"/>
    <m/>
    <m/>
    <s v="010"/>
  </r>
  <r>
    <n v="418"/>
    <n v="952596883"/>
    <x v="417"/>
    <n v="2107"/>
    <x v="0"/>
    <x v="417"/>
    <s v="matheus.luiz"/>
    <x v="405"/>
    <n v="37406771"/>
    <m/>
    <m/>
    <n v="40933"/>
    <m/>
    <s v=""/>
    <n v="162"/>
    <x v="414"/>
    <x v="414"/>
    <n v="2005"/>
    <n v="308"/>
    <n v="544.32000000000005"/>
    <x v="18"/>
    <x v="1"/>
    <x v="0"/>
    <s v="Efetivo"/>
    <s v="N"/>
    <s v="Gerente"/>
    <s v="FXS8372-SHN"/>
    <n v="50"/>
    <n v="12"/>
    <m/>
    <n v="196"/>
    <m/>
    <m/>
    <s v="010"/>
  </r>
  <r>
    <n v="419"/>
    <n v="618103680"/>
    <x v="418"/>
    <n v="4016"/>
    <x v="0"/>
    <x v="418"/>
    <s v="marcello.montanholi"/>
    <x v="406"/>
    <n v="20017818"/>
    <m/>
    <m/>
    <n v="37411"/>
    <m/>
    <s v=""/>
    <n v="182"/>
    <x v="415"/>
    <x v="415"/>
    <n v="3129"/>
    <n v="198"/>
    <n v="611.52"/>
    <x v="20"/>
    <x v="3"/>
    <x v="0"/>
    <s v="Terceiro"/>
    <s v="N"/>
    <s v="RH"/>
    <s v="LQC4277-GSC"/>
    <n v="143"/>
    <n v="21"/>
    <m/>
    <n v="20"/>
    <m/>
    <m/>
    <s v="010"/>
  </r>
  <r>
    <n v="420"/>
    <n v="309878258"/>
    <x v="419"/>
    <n v="4685"/>
    <x v="0"/>
    <x v="419"/>
    <s v="giovanna.fahrnholz"/>
    <x v="407"/>
    <n v="27708110"/>
    <m/>
    <m/>
    <n v="42877"/>
    <m/>
    <s v=""/>
    <n v="244"/>
    <x v="416"/>
    <x v="416"/>
    <n v="595.4"/>
    <n v="308"/>
    <n v="819.84"/>
    <x v="21"/>
    <x v="4"/>
    <x v="2"/>
    <s v="Efetivo"/>
    <s v="S"/>
    <s v="RH"/>
    <s v="QBA5326-ZSM"/>
    <n v="106"/>
    <n v="17"/>
    <m/>
    <n v="183"/>
    <m/>
    <m/>
    <s v="213"/>
  </r>
  <r>
    <n v="421"/>
    <n v="592929094"/>
    <x v="420"/>
    <n v="1584"/>
    <x v="1"/>
    <x v="420"/>
    <s v="rafael.silva"/>
    <x v="317"/>
    <n v="48931424"/>
    <m/>
    <m/>
    <n v="43077"/>
    <m/>
    <s v=""/>
    <n v="205"/>
    <x v="417"/>
    <x v="417"/>
    <n v="2777.2000000000003"/>
    <n v="220"/>
    <n v="688.80000000000007"/>
    <x v="7"/>
    <x v="3"/>
    <x v="2"/>
    <s v="Terceiro"/>
    <s v="N"/>
    <s v="RH"/>
    <s v="ZOD5266-WEM"/>
    <n v="132"/>
    <n v="21"/>
    <m/>
    <n v="63"/>
    <m/>
    <m/>
    <s v="213"/>
  </r>
  <r>
    <n v="422"/>
    <n v="360611412"/>
    <x v="421"/>
    <n v="7762"/>
    <x v="1"/>
    <x v="421"/>
    <s v="joão.araújo"/>
    <x v="408"/>
    <n v="49865542"/>
    <m/>
    <m/>
    <n v="40909"/>
    <m/>
    <d v="2013-08-14T00:00:00"/>
    <n v="181"/>
    <x v="418"/>
    <x v="418"/>
    <n v="2278"/>
    <n v="264"/>
    <n v="608.16"/>
    <x v="7"/>
    <x v="3"/>
    <x v="2"/>
    <s v="Terceiro"/>
    <s v="N"/>
    <s v="RH"/>
    <s v="PMF1644-FJF"/>
    <n v="141"/>
    <n v="28"/>
    <m/>
    <n v="59"/>
    <m/>
    <m/>
    <s v="213"/>
  </r>
  <r>
    <n v="423"/>
    <n v="422950543"/>
    <x v="422"/>
    <n v="1645"/>
    <x v="1"/>
    <x v="422"/>
    <s v="ighor.kelly"/>
    <x v="409"/>
    <n v="38163321"/>
    <m/>
    <m/>
    <n v="42483"/>
    <m/>
    <d v="2018-01-05T00:00:00"/>
    <n v="198"/>
    <x v="419"/>
    <x v="419"/>
    <n v="2825"/>
    <n v="220"/>
    <n v="665.28000000000009"/>
    <x v="17"/>
    <x v="2"/>
    <x v="4"/>
    <s v="Terceiro"/>
    <s v="N"/>
    <s v="RH"/>
    <s v="YZW1739-GNS"/>
    <n v="150"/>
    <n v="21"/>
    <m/>
    <n v="109"/>
    <m/>
    <m/>
    <s v="011"/>
  </r>
  <r>
    <n v="424"/>
    <n v="909194922"/>
    <x v="423"/>
    <n v="6066"/>
    <x v="1"/>
    <x v="423"/>
    <s v="leonardo.dias"/>
    <x v="410"/>
    <n v="45044358"/>
    <m/>
    <m/>
    <n v="34246"/>
    <m/>
    <d v="2000-04-16T00:00:00"/>
    <n v="164"/>
    <x v="420"/>
    <x v="420"/>
    <n v="2444.8000000000002"/>
    <n v="264"/>
    <n v="551.04"/>
    <x v="6"/>
    <x v="2"/>
    <x v="3"/>
    <s v="Terceiro"/>
    <s v="N"/>
    <s v="RH"/>
    <s v="ZJL9482-CNJ"/>
    <n v="150"/>
    <n v="55"/>
    <m/>
    <n v="198"/>
    <m/>
    <m/>
    <s v="322"/>
  </r>
  <r>
    <n v="425"/>
    <n v="322226358"/>
    <x v="424"/>
    <n v="6345"/>
    <x v="1"/>
    <x v="424"/>
    <s v="amanda.marinho"/>
    <x v="411"/>
    <n v="49830914"/>
    <m/>
    <m/>
    <n v="40438"/>
    <m/>
    <s v=""/>
    <n v="197"/>
    <x v="421"/>
    <x v="421"/>
    <n v="4709.4000000000005"/>
    <n v="220"/>
    <n v="661.92000000000007"/>
    <x v="19"/>
    <x v="1"/>
    <x v="4"/>
    <s v="Efetivo"/>
    <s v="N"/>
    <s v="Gerente"/>
    <s v="KSM4986-EYM"/>
    <n v="91"/>
    <n v="40"/>
    <m/>
    <n v="158"/>
    <m/>
    <m/>
    <s v="011"/>
  </r>
  <r>
    <n v="426"/>
    <n v="391636863"/>
    <x v="425"/>
    <n v="5185"/>
    <x v="0"/>
    <x v="425"/>
    <s v="tiago.tanaka"/>
    <x v="412"/>
    <n v="44565049"/>
    <m/>
    <m/>
    <n v="34938"/>
    <m/>
    <s v=""/>
    <n v="184"/>
    <x v="422"/>
    <x v="422"/>
    <n v="4204.2"/>
    <n v="154"/>
    <n v="618.24"/>
    <x v="4"/>
    <x v="2"/>
    <x v="0"/>
    <s v="Terceiro"/>
    <s v="N"/>
    <s v="RH"/>
    <s v="XYN2222-SLU"/>
    <n v="64"/>
    <n v="50"/>
    <m/>
    <n v="62"/>
    <n v="874"/>
    <m/>
    <s v="010"/>
  </r>
  <r>
    <n v="427"/>
    <n v="616820954"/>
    <x v="426"/>
    <n v="4869"/>
    <x v="1"/>
    <x v="426"/>
    <s v="iasmim.netto"/>
    <x v="413"/>
    <n v="43409237"/>
    <m/>
    <m/>
    <n v="36338"/>
    <m/>
    <s v=""/>
    <n v="201"/>
    <x v="423"/>
    <x v="423"/>
    <n v="1451.8000000000002"/>
    <n v="308"/>
    <n v="675.36"/>
    <x v="12"/>
    <x v="4"/>
    <x v="4"/>
    <s v="Efetivo"/>
    <s v="S"/>
    <s v="Diretoria"/>
    <s v="VIA2405-OMS"/>
    <n v="71"/>
    <n v="19"/>
    <m/>
    <n v="166"/>
    <m/>
    <m/>
    <s v="011"/>
  </r>
  <r>
    <n v="428"/>
    <n v="191603777"/>
    <x v="427"/>
    <n v="2447"/>
    <x v="0"/>
    <x v="427"/>
    <s v="pedro.moraes"/>
    <x v="414"/>
    <n v="36777031"/>
    <m/>
    <m/>
    <n v="38393"/>
    <m/>
    <s v=""/>
    <n v="232"/>
    <x v="424"/>
    <x v="424"/>
    <n v="1326"/>
    <n v="220"/>
    <n v="779.52"/>
    <x v="18"/>
    <x v="1"/>
    <x v="0"/>
    <s v="Efetivo"/>
    <s v="N"/>
    <s v="Gerente"/>
    <s v="JVO7966-BBM"/>
    <n v="57"/>
    <n v="29"/>
    <m/>
    <n v="121"/>
    <m/>
    <m/>
    <s v="010"/>
  </r>
  <r>
    <n v="429"/>
    <n v="714861459"/>
    <x v="428"/>
    <n v="6435"/>
    <x v="1"/>
    <x v="428"/>
    <s v="rafaela.godoy"/>
    <x v="415"/>
    <n v="32020938"/>
    <m/>
    <m/>
    <n v="33814"/>
    <m/>
    <s v=""/>
    <n v="195"/>
    <x v="425"/>
    <x v="425"/>
    <n v="4132.6000000000004"/>
    <n v="176"/>
    <n v="655.19999999999993"/>
    <x v="6"/>
    <x v="2"/>
    <x v="3"/>
    <s v="Terceiro"/>
    <s v="N"/>
    <s v="RH"/>
    <s v="RMW7354-SFN"/>
    <n v="85"/>
    <n v="23"/>
    <m/>
    <n v="110"/>
    <m/>
    <m/>
    <s v="322"/>
  </r>
  <r>
    <n v="430"/>
    <n v="669568164"/>
    <x v="429"/>
    <n v="2645"/>
    <x v="0"/>
    <x v="429"/>
    <s v="priscila.granado"/>
    <x v="416"/>
    <n v="30514975"/>
    <m/>
    <m/>
    <n v="39357"/>
    <m/>
    <s v=""/>
    <n v="234"/>
    <x v="426"/>
    <x v="426"/>
    <n v="4318.8"/>
    <n v="264"/>
    <n v="786.24"/>
    <x v="10"/>
    <x v="3"/>
    <x v="1"/>
    <s v="Terceiro"/>
    <s v="N"/>
    <s v="RH"/>
    <s v="HWA7098-FHC"/>
    <n v="101"/>
    <n v="22"/>
    <m/>
    <n v="99"/>
    <m/>
    <m/>
    <s v="545"/>
  </r>
  <r>
    <n v="431"/>
    <n v="691952759"/>
    <x v="430"/>
    <n v="4721"/>
    <x v="1"/>
    <x v="430"/>
    <s v="fernanda.gonçalves"/>
    <x v="417"/>
    <n v="31147672"/>
    <m/>
    <m/>
    <n v="39900"/>
    <m/>
    <s v=""/>
    <n v="198"/>
    <x v="427"/>
    <x v="427"/>
    <n v="4326.2"/>
    <n v="154"/>
    <n v="665.28000000000009"/>
    <x v="18"/>
    <x v="1"/>
    <x v="0"/>
    <s v="Efetivo"/>
    <s v="N"/>
    <s v="Gerente"/>
    <s v="VNH3647-CLD"/>
    <n v="120"/>
    <n v="20"/>
    <m/>
    <n v="119"/>
    <m/>
    <m/>
    <s v="010"/>
  </r>
  <r>
    <n v="432"/>
    <n v="874758016"/>
    <x v="431"/>
    <n v="4041"/>
    <x v="0"/>
    <x v="431"/>
    <s v="yuske.orichio"/>
    <x v="418"/>
    <n v="37415162"/>
    <m/>
    <m/>
    <n v="38676"/>
    <m/>
    <s v=""/>
    <n v="234"/>
    <x v="428"/>
    <x v="428"/>
    <n v="4726.2"/>
    <n v="154"/>
    <n v="786.24"/>
    <x v="1"/>
    <x v="1"/>
    <x v="1"/>
    <s v="Efetivo"/>
    <s v="N"/>
    <s v="Gerente"/>
    <s v="CVO5228-JRV"/>
    <n v="32"/>
    <n v="7"/>
    <m/>
    <n v="88"/>
    <m/>
    <m/>
    <s v="545"/>
  </r>
  <r>
    <n v="433"/>
    <n v="598281457"/>
    <x v="432"/>
    <n v="6259"/>
    <x v="1"/>
    <x v="432"/>
    <s v="julia.freitas"/>
    <x v="419"/>
    <n v="20112820"/>
    <m/>
    <m/>
    <n v="41905"/>
    <m/>
    <s v=""/>
    <n v="219"/>
    <x v="429"/>
    <x v="429"/>
    <n v="820.6"/>
    <n v="264"/>
    <n v="735.84"/>
    <x v="1"/>
    <x v="1"/>
    <x v="1"/>
    <s v="Efetivo"/>
    <s v="N"/>
    <s v="Gerente"/>
    <s v="SHZ3510-PYB"/>
    <n v="23"/>
    <n v="22"/>
    <m/>
    <n v="81"/>
    <m/>
    <m/>
    <s v="545"/>
  </r>
  <r>
    <n v="434"/>
    <n v="286770953"/>
    <x v="433"/>
    <n v="3041"/>
    <x v="0"/>
    <x v="433"/>
    <s v="bianca.vianna"/>
    <x v="420"/>
    <n v="45762254"/>
    <m/>
    <m/>
    <n v="37596"/>
    <m/>
    <s v=""/>
    <n v="232"/>
    <x v="430"/>
    <x v="430"/>
    <n v="4047.6000000000004"/>
    <n v="264"/>
    <n v="779.52"/>
    <x v="5"/>
    <x v="0"/>
    <x v="3"/>
    <s v="Efetivo"/>
    <s v="S"/>
    <s v="Diretoria"/>
    <s v="CLU3782-MGQ"/>
    <n v="42"/>
    <n v="32"/>
    <m/>
    <n v="83"/>
    <m/>
    <m/>
    <s v="322"/>
  </r>
  <r>
    <n v="435"/>
    <n v="519802938"/>
    <x v="434"/>
    <n v="2555"/>
    <x v="1"/>
    <x v="434"/>
    <s v="ana.barbosa"/>
    <x v="421"/>
    <n v="25046384"/>
    <m/>
    <m/>
    <n v="37774"/>
    <m/>
    <d v="2004-11-19T00:00:00"/>
    <n v="169"/>
    <x v="431"/>
    <x v="431"/>
    <n v="3311.4"/>
    <n v="308"/>
    <n v="567.84"/>
    <x v="2"/>
    <x v="1"/>
    <x v="2"/>
    <s v="Efetivo"/>
    <s v="N"/>
    <s v="Gerente"/>
    <s v="BPJ9513-XRW"/>
    <n v="139"/>
    <n v="32"/>
    <m/>
    <n v="17"/>
    <m/>
    <m/>
    <s v="213"/>
  </r>
  <r>
    <n v="436"/>
    <n v="755646524"/>
    <x v="435"/>
    <n v="3645"/>
    <x v="0"/>
    <x v="435"/>
    <s v="emilaine.silva"/>
    <x v="422"/>
    <n v="47461020"/>
    <m/>
    <m/>
    <n v="41049"/>
    <m/>
    <s v=""/>
    <n v="237"/>
    <x v="432"/>
    <x v="432"/>
    <n v="2630"/>
    <n v="308"/>
    <n v="796.32"/>
    <x v="1"/>
    <x v="1"/>
    <x v="1"/>
    <s v="Efetivo"/>
    <s v="N"/>
    <s v="Gerente"/>
    <s v="PBG4952-OLX"/>
    <n v="108"/>
    <n v="19"/>
    <m/>
    <n v="160"/>
    <m/>
    <m/>
    <s v="545"/>
  </r>
  <r>
    <n v="437"/>
    <n v="396843893"/>
    <x v="436"/>
    <n v="2005"/>
    <x v="1"/>
    <x v="436"/>
    <s v="ana.farias"/>
    <x v="423"/>
    <n v="20918639"/>
    <m/>
    <m/>
    <n v="35638"/>
    <m/>
    <s v=""/>
    <n v="150"/>
    <x v="433"/>
    <x v="433"/>
    <n v="2226.2000000000003"/>
    <n v="154"/>
    <n v="504"/>
    <x v="13"/>
    <x v="0"/>
    <x v="2"/>
    <s v="Efetivo"/>
    <s v="S"/>
    <s v="Diretoria"/>
    <s v="DPD5673-RUL"/>
    <n v="116"/>
    <n v="19"/>
    <m/>
    <n v="195"/>
    <m/>
    <m/>
    <s v="213"/>
  </r>
  <r>
    <n v="438"/>
    <n v="702742466"/>
    <x v="437"/>
    <n v="6402"/>
    <x v="1"/>
    <x v="437"/>
    <s v="diego.costa"/>
    <x v="424"/>
    <n v="39394064"/>
    <m/>
    <m/>
    <n v="39951"/>
    <m/>
    <s v=""/>
    <n v="208"/>
    <x v="434"/>
    <x v="434"/>
    <n v="2327.8000000000002"/>
    <n v="198"/>
    <n v="698.88"/>
    <x v="12"/>
    <x v="4"/>
    <x v="4"/>
    <s v="Efetivo"/>
    <s v="S"/>
    <s v="Diretoria"/>
    <s v="OGP4524-WEF"/>
    <n v="80"/>
    <n v="15"/>
    <m/>
    <n v="25"/>
    <m/>
    <m/>
    <s v="011"/>
  </r>
  <r>
    <n v="439"/>
    <n v="731647816"/>
    <x v="438"/>
    <n v="4771"/>
    <x v="1"/>
    <x v="438"/>
    <s v="vitor.silveira"/>
    <x v="425"/>
    <n v="23490923"/>
    <m/>
    <m/>
    <n v="43040"/>
    <m/>
    <s v=""/>
    <n v="215"/>
    <x v="435"/>
    <x v="435"/>
    <n v="3171.2000000000003"/>
    <n v="198"/>
    <n v="722.4"/>
    <x v="15"/>
    <x v="2"/>
    <x v="1"/>
    <s v="Terceiro"/>
    <s v="N"/>
    <s v="RH"/>
    <s v="LAO1073-LEN"/>
    <n v="137"/>
    <n v="33"/>
    <m/>
    <n v="55"/>
    <m/>
    <m/>
    <s v="545"/>
  </r>
  <r>
    <n v="440"/>
    <n v="333794194"/>
    <x v="439"/>
    <n v="7677"/>
    <x v="1"/>
    <x v="439"/>
    <s v="juan.araújo"/>
    <x v="426"/>
    <n v="23496953"/>
    <m/>
    <m/>
    <n v="42614"/>
    <m/>
    <d v="2018-01-05T00:00:00"/>
    <n v="223"/>
    <x v="436"/>
    <x v="436"/>
    <n v="4083.2000000000003"/>
    <n v="264"/>
    <n v="749.28000000000009"/>
    <x v="15"/>
    <x v="2"/>
    <x v="1"/>
    <s v="Terceiro"/>
    <s v="N"/>
    <s v="RH"/>
    <s v="KZW6955-ZOS"/>
    <n v="91"/>
    <n v="19"/>
    <m/>
    <n v="82"/>
    <m/>
    <m/>
    <s v="545"/>
  </r>
  <r>
    <n v="441"/>
    <n v="478295074"/>
    <x v="440"/>
    <n v="1845"/>
    <x v="0"/>
    <x v="440"/>
    <s v="paula.pessanha"/>
    <x v="427"/>
    <n v="32784975"/>
    <m/>
    <m/>
    <n v="38953"/>
    <m/>
    <s v=""/>
    <n v="194"/>
    <x v="437"/>
    <x v="437"/>
    <n v="3301.6000000000004"/>
    <n v="264"/>
    <n v="651.84"/>
    <x v="6"/>
    <x v="2"/>
    <x v="3"/>
    <s v="Terceiro"/>
    <s v="N"/>
    <s v="RH"/>
    <s v="NBC5308-PUD"/>
    <n v="75"/>
    <n v="42"/>
    <m/>
    <n v="34"/>
    <m/>
    <m/>
    <s v="322"/>
  </r>
  <r>
    <n v="442"/>
    <n v="391205085"/>
    <x v="441"/>
    <n v="7832"/>
    <x v="1"/>
    <x v="441"/>
    <s v="lorena.fernandes"/>
    <x v="428"/>
    <n v="36879301"/>
    <m/>
    <m/>
    <n v="39826"/>
    <m/>
    <s v=""/>
    <n v="205"/>
    <x v="438"/>
    <x v="438"/>
    <n v="1761"/>
    <n v="176"/>
    <n v="688.80000000000007"/>
    <x v="17"/>
    <x v="2"/>
    <x v="4"/>
    <s v="Terceiro"/>
    <s v="N"/>
    <s v="RH"/>
    <s v="RMH7650-BMV"/>
    <n v="139"/>
    <n v="32"/>
    <m/>
    <n v="1"/>
    <m/>
    <m/>
    <s v="011"/>
  </r>
  <r>
    <n v="443"/>
    <n v="196530929"/>
    <x v="442"/>
    <n v="4870"/>
    <x v="0"/>
    <x v="442"/>
    <s v="iris.silva"/>
    <x v="429"/>
    <n v="31627126"/>
    <m/>
    <m/>
    <n v="37131"/>
    <m/>
    <s v=""/>
    <n v="205"/>
    <x v="439"/>
    <x v="439"/>
    <n v="2910.4"/>
    <n v="220"/>
    <n v="688.80000000000007"/>
    <x v="1"/>
    <x v="1"/>
    <x v="1"/>
    <s v="Efetivo"/>
    <s v="N"/>
    <s v="Gerente"/>
    <s v="UPQ2143-MYA"/>
    <n v="105"/>
    <n v="7"/>
    <m/>
    <n v="2"/>
    <m/>
    <m/>
    <s v="545"/>
  </r>
  <r>
    <n v="444"/>
    <n v="375471204"/>
    <x v="443"/>
    <n v="1932"/>
    <x v="1"/>
    <x v="443"/>
    <s v="maria.souza"/>
    <x v="430"/>
    <n v="42253271"/>
    <m/>
    <m/>
    <n v="40613"/>
    <m/>
    <s v=""/>
    <n v="170"/>
    <x v="440"/>
    <x v="440"/>
    <n v="2050.6"/>
    <n v="242"/>
    <n v="571.19999999999993"/>
    <x v="18"/>
    <x v="1"/>
    <x v="0"/>
    <s v="Efetivo"/>
    <s v="N"/>
    <s v="Gerente"/>
    <s v="AUZ6721-UPE"/>
    <n v="127"/>
    <n v="13"/>
    <m/>
    <n v="131"/>
    <m/>
    <m/>
    <s v="010"/>
  </r>
  <r>
    <n v="445"/>
    <n v="523811793"/>
    <x v="444"/>
    <n v="2064"/>
    <x v="0"/>
    <x v="444"/>
    <s v="geam.silva"/>
    <x v="431"/>
    <n v="47466865"/>
    <m/>
    <m/>
    <n v="37269"/>
    <m/>
    <s v=""/>
    <n v="218"/>
    <x v="441"/>
    <x v="441"/>
    <n v="1444.2"/>
    <n v="176"/>
    <n v="732.48"/>
    <x v="19"/>
    <x v="1"/>
    <x v="4"/>
    <s v="Efetivo"/>
    <s v="N"/>
    <s v="Gerente"/>
    <s v="HIO1134-SLV"/>
    <n v="80"/>
    <n v="15"/>
    <m/>
    <n v="17"/>
    <m/>
    <m/>
    <s v="011"/>
  </r>
  <r>
    <n v="446"/>
    <n v="468526654"/>
    <x v="445"/>
    <n v="2471"/>
    <x v="0"/>
    <x v="445"/>
    <s v="guilherme.johnson"/>
    <x v="432"/>
    <n v="21072333"/>
    <m/>
    <m/>
    <n v="40658"/>
    <m/>
    <s v=""/>
    <n v="165"/>
    <x v="442"/>
    <x v="442"/>
    <n v="643.20000000000005"/>
    <n v="154"/>
    <n v="554.4"/>
    <x v="7"/>
    <x v="3"/>
    <x v="2"/>
    <s v="Terceiro"/>
    <s v="N"/>
    <s v="RH"/>
    <s v="QEP4227-FBF"/>
    <n v="27"/>
    <n v="47"/>
    <m/>
    <n v="101"/>
    <m/>
    <m/>
    <s v="213"/>
  </r>
  <r>
    <n v="447"/>
    <n v="932206409"/>
    <x v="446"/>
    <n v="3044"/>
    <x v="0"/>
    <x v="446"/>
    <s v="gabriela.romeu"/>
    <x v="433"/>
    <n v="43221338"/>
    <m/>
    <m/>
    <n v="38292"/>
    <m/>
    <s v=""/>
    <n v="237"/>
    <x v="443"/>
    <x v="443"/>
    <n v="1415.4"/>
    <n v="286"/>
    <n v="796.32"/>
    <x v="4"/>
    <x v="2"/>
    <x v="0"/>
    <s v="Terceiro"/>
    <s v="N"/>
    <s v="RH"/>
    <s v="IAN6030-YPO"/>
    <n v="86"/>
    <n v="57"/>
    <m/>
    <n v="134"/>
    <m/>
    <m/>
    <s v="010"/>
  </r>
  <r>
    <n v="448"/>
    <n v="227570096"/>
    <x v="447"/>
    <n v="1586"/>
    <x v="1"/>
    <x v="447"/>
    <s v="ana.filardi"/>
    <x v="434"/>
    <n v="25702440"/>
    <m/>
    <m/>
    <n v="41138"/>
    <m/>
    <s v=""/>
    <n v="186"/>
    <x v="444"/>
    <x v="444"/>
    <n v="3676.2000000000003"/>
    <n v="286"/>
    <n v="624.96"/>
    <x v="8"/>
    <x v="4"/>
    <x v="1"/>
    <s v="Efetivo"/>
    <s v="S"/>
    <s v="Diretoria"/>
    <s v="DBQ3271-TXH"/>
    <n v="64"/>
    <n v="11"/>
    <m/>
    <n v="28"/>
    <m/>
    <m/>
    <s v="545"/>
  </r>
  <r>
    <n v="449"/>
    <n v="175436664"/>
    <x v="448"/>
    <n v="3932"/>
    <x v="1"/>
    <x v="448"/>
    <s v="josé.lisboa"/>
    <x v="435"/>
    <n v="26079033"/>
    <m/>
    <m/>
    <n v="41279"/>
    <m/>
    <s v=""/>
    <n v="160"/>
    <x v="445"/>
    <x v="445"/>
    <n v="2964.6000000000004"/>
    <n v="198"/>
    <n v="537.6"/>
    <x v="14"/>
    <x v="3"/>
    <x v="3"/>
    <s v="Terceiro"/>
    <s v="N"/>
    <s v="RH"/>
    <s v="ZXC4058-KTJ"/>
    <n v="132"/>
    <n v="7"/>
    <m/>
    <n v="122"/>
    <m/>
    <m/>
    <s v="322"/>
  </r>
  <r>
    <n v="450"/>
    <n v="628618873"/>
    <x v="449"/>
    <n v="3178"/>
    <x v="0"/>
    <x v="449"/>
    <s v="luis.santos"/>
    <x v="436"/>
    <n v="44096523"/>
    <m/>
    <m/>
    <n v="42162"/>
    <m/>
    <s v=""/>
    <n v="163"/>
    <x v="422"/>
    <x v="422"/>
    <n v="4204.2"/>
    <n v="242"/>
    <n v="547.67999999999995"/>
    <x v="24"/>
    <x v="0"/>
    <x v="4"/>
    <s v="Efetivo"/>
    <s v="S"/>
    <s v="Diretoria"/>
    <s v="LJL1253-YXN"/>
    <n v="114"/>
    <n v="31"/>
    <m/>
    <n v="36"/>
    <m/>
    <m/>
    <s v="011"/>
  </r>
  <r>
    <n v="451"/>
    <n v="276720307"/>
    <x v="450"/>
    <n v="2023"/>
    <x v="0"/>
    <x v="450"/>
    <s v="rodrigo.gusmão"/>
    <x v="437"/>
    <n v="22003422"/>
    <m/>
    <m/>
    <n v="41861"/>
    <m/>
    <s v=""/>
    <n v="199"/>
    <x v="446"/>
    <x v="446"/>
    <n v="3044.8"/>
    <n v="242"/>
    <n v="668.64"/>
    <x v="3"/>
    <x v="2"/>
    <x v="2"/>
    <s v="Terceiro"/>
    <s v="N"/>
    <s v="RH"/>
    <s v="IYI3125-ISP"/>
    <n v="105"/>
    <n v="32"/>
    <m/>
    <n v="84"/>
    <m/>
    <m/>
    <s v="213"/>
  </r>
  <r>
    <n v="452"/>
    <n v="949924183"/>
    <x v="451"/>
    <n v="2223"/>
    <x v="0"/>
    <x v="451"/>
    <s v="desirée.guimarães"/>
    <x v="328"/>
    <n v="33615783"/>
    <m/>
    <m/>
    <n v="39622"/>
    <m/>
    <s v=""/>
    <n v="162"/>
    <x v="447"/>
    <x v="447"/>
    <n v="3053"/>
    <n v="264"/>
    <n v="544.32000000000005"/>
    <x v="6"/>
    <x v="2"/>
    <x v="3"/>
    <s v="Terceiro"/>
    <s v="N"/>
    <s v="RH"/>
    <s v="IBY2824-WSE"/>
    <n v="135"/>
    <n v="37"/>
    <m/>
    <n v="30"/>
    <m/>
    <m/>
    <s v="322"/>
  </r>
  <r>
    <n v="453"/>
    <n v="511719360"/>
    <x v="452"/>
    <n v="4750"/>
    <x v="1"/>
    <x v="452"/>
    <s v="milena.ferreira"/>
    <x v="438"/>
    <n v="30159766"/>
    <m/>
    <m/>
    <n v="42240"/>
    <m/>
    <s v=""/>
    <n v="150"/>
    <x v="448"/>
    <x v="448"/>
    <n v="501.20000000000005"/>
    <n v="220"/>
    <n v="504"/>
    <x v="19"/>
    <x v="1"/>
    <x v="4"/>
    <s v="Efetivo"/>
    <s v="N"/>
    <s v="Gerente"/>
    <s v="BHO8636-QCL"/>
    <n v="83"/>
    <n v="14"/>
    <m/>
    <n v="183"/>
    <m/>
    <m/>
    <s v="011"/>
  </r>
  <r>
    <n v="454"/>
    <n v="351409608"/>
    <x v="453"/>
    <n v="3836"/>
    <x v="0"/>
    <x v="453"/>
    <s v="joão.rodrigues"/>
    <x v="439"/>
    <n v="32850102"/>
    <m/>
    <m/>
    <n v="39812"/>
    <m/>
    <s v=""/>
    <n v="224"/>
    <x v="449"/>
    <x v="449"/>
    <n v="4183.6000000000004"/>
    <n v="198"/>
    <n v="752.64"/>
    <x v="9"/>
    <x v="1"/>
    <x v="3"/>
    <s v="Efetivo"/>
    <s v="N"/>
    <s v="Gerente"/>
    <s v="IAB3275-WNU"/>
    <n v="100"/>
    <n v="18"/>
    <m/>
    <n v="95"/>
    <m/>
    <m/>
    <s v="322"/>
  </r>
  <r>
    <n v="455"/>
    <n v="266690330"/>
    <x v="454"/>
    <n v="1318"/>
    <x v="1"/>
    <x v="454"/>
    <s v="beatriz.barrozo"/>
    <x v="84"/>
    <n v="21386237"/>
    <m/>
    <m/>
    <n v="41674"/>
    <m/>
    <s v=""/>
    <n v="188"/>
    <x v="450"/>
    <x v="450"/>
    <n v="3263.2000000000003"/>
    <n v="176"/>
    <n v="631.67999999999995"/>
    <x v="17"/>
    <x v="2"/>
    <x v="4"/>
    <s v="Terceiro"/>
    <s v="N"/>
    <s v="RH"/>
    <s v="KPO9457-IEZ"/>
    <n v="145"/>
    <n v="58"/>
    <m/>
    <n v="38"/>
    <m/>
    <m/>
    <s v="011"/>
  </r>
  <r>
    <n v="456"/>
    <n v="113612469"/>
    <x v="455"/>
    <n v="2868"/>
    <x v="1"/>
    <x v="455"/>
    <s v="luiza.soares"/>
    <x v="371"/>
    <n v="46694322"/>
    <m/>
    <m/>
    <n v="41319"/>
    <m/>
    <s v=""/>
    <n v="192"/>
    <x v="451"/>
    <x v="451"/>
    <n v="2251.6"/>
    <n v="308"/>
    <n v="645.12"/>
    <x v="4"/>
    <x v="2"/>
    <x v="0"/>
    <s v="Terceiro"/>
    <s v="N"/>
    <s v="RH"/>
    <s v="ZJJ3635-VGA"/>
    <n v="70"/>
    <n v="16"/>
    <m/>
    <n v="140"/>
    <m/>
    <m/>
    <s v="010"/>
  </r>
  <r>
    <n v="457"/>
    <n v="758571216"/>
    <x v="456"/>
    <n v="1055"/>
    <x v="0"/>
    <x v="456"/>
    <s v="arthur.miranda"/>
    <x v="440"/>
    <n v="27092721"/>
    <m/>
    <m/>
    <n v="38461"/>
    <m/>
    <s v=""/>
    <n v="196"/>
    <x v="452"/>
    <x v="452"/>
    <n v="593.20000000000005"/>
    <n v="154"/>
    <n v="658.56"/>
    <x v="9"/>
    <x v="1"/>
    <x v="3"/>
    <s v="Efetivo"/>
    <s v="N"/>
    <s v="Gerente"/>
    <s v="EYQ6682-BPO"/>
    <n v="72"/>
    <n v="23"/>
    <m/>
    <n v="50"/>
    <m/>
    <m/>
    <s v="322"/>
  </r>
  <r>
    <n v="458"/>
    <n v="904085550"/>
    <x v="457"/>
    <n v="7257"/>
    <x v="0"/>
    <x v="457"/>
    <s v="rafael.lobo"/>
    <x v="441"/>
    <n v="41696721"/>
    <m/>
    <m/>
    <n v="35512"/>
    <m/>
    <s v=""/>
    <n v="233"/>
    <x v="453"/>
    <x v="453"/>
    <n v="4377"/>
    <n v="286"/>
    <n v="782.88"/>
    <x v="18"/>
    <x v="1"/>
    <x v="0"/>
    <s v="Efetivo"/>
    <s v="N"/>
    <s v="Gerente"/>
    <s v="FHE2428-JBZ"/>
    <n v="100"/>
    <n v="53"/>
    <m/>
    <n v="195"/>
    <m/>
    <m/>
    <s v="010"/>
  </r>
  <r>
    <n v="459"/>
    <n v="102860464"/>
    <x v="458"/>
    <n v="2410"/>
    <x v="1"/>
    <x v="458"/>
    <s v="marcelo.monnerat"/>
    <x v="442"/>
    <n v="42649154"/>
    <m/>
    <m/>
    <n v="41136"/>
    <m/>
    <s v=""/>
    <n v="245"/>
    <x v="454"/>
    <x v="454"/>
    <n v="3862.8"/>
    <n v="220"/>
    <n v="823.19999999999993"/>
    <x v="17"/>
    <x v="2"/>
    <x v="4"/>
    <s v="Terceiro"/>
    <s v="N"/>
    <s v="RH"/>
    <s v="JBN9435-LGC"/>
    <n v="130"/>
    <n v="52"/>
    <m/>
    <n v="128"/>
    <m/>
    <m/>
    <s v="011"/>
  </r>
  <r>
    <n v="460"/>
    <n v="336453453"/>
    <x v="459"/>
    <n v="5109"/>
    <x v="0"/>
    <x v="459"/>
    <s v="adelino.araujo"/>
    <x v="443"/>
    <n v="25051915"/>
    <m/>
    <m/>
    <n v="38663"/>
    <m/>
    <s v=""/>
    <n v="218"/>
    <x v="455"/>
    <x v="455"/>
    <n v="2845"/>
    <n v="308"/>
    <n v="732.48"/>
    <x v="18"/>
    <x v="1"/>
    <x v="0"/>
    <s v="Efetivo"/>
    <s v="N"/>
    <s v="Gerente"/>
    <s v="ZSN9048-ACK"/>
    <n v="49"/>
    <n v="24"/>
    <m/>
    <n v="23"/>
    <m/>
    <m/>
    <s v="010"/>
  </r>
  <r>
    <n v="461"/>
    <n v="906583930"/>
    <x v="460"/>
    <n v="7902"/>
    <x v="1"/>
    <x v="460"/>
    <s v="vinicius.monteiro"/>
    <x v="444"/>
    <n v="33193871"/>
    <m/>
    <m/>
    <n v="41790"/>
    <m/>
    <s v=""/>
    <n v="211"/>
    <x v="456"/>
    <x v="456"/>
    <n v="3436.8"/>
    <n v="220"/>
    <n v="708.96"/>
    <x v="3"/>
    <x v="2"/>
    <x v="2"/>
    <s v="Terceiro"/>
    <s v="N"/>
    <s v="RH"/>
    <s v="JIS3275-TCK"/>
    <n v="123"/>
    <n v="52"/>
    <m/>
    <n v="156"/>
    <m/>
    <m/>
    <s v="213"/>
  </r>
  <r>
    <n v="462"/>
    <n v="625527647"/>
    <x v="461"/>
    <n v="5451"/>
    <x v="1"/>
    <x v="461"/>
    <s v="lucas.procaci"/>
    <x v="445"/>
    <n v="45221709"/>
    <m/>
    <m/>
    <n v="40252"/>
    <m/>
    <s v=""/>
    <n v="220"/>
    <x v="457"/>
    <x v="457"/>
    <n v="1197.8"/>
    <n v="264"/>
    <n v="739.19999999999993"/>
    <x v="3"/>
    <x v="2"/>
    <x v="2"/>
    <s v="Terceiro"/>
    <s v="N"/>
    <s v="RH"/>
    <s v="BYM2976-CEN"/>
    <n v="98"/>
    <n v="37"/>
    <m/>
    <n v="38"/>
    <m/>
    <m/>
    <s v="213"/>
  </r>
  <r>
    <n v="463"/>
    <n v="585531458"/>
    <x v="462"/>
    <n v="6453"/>
    <x v="0"/>
    <x v="462"/>
    <s v="paloma.lyra"/>
    <x v="446"/>
    <n v="30678025"/>
    <m/>
    <m/>
    <n v="38418"/>
    <m/>
    <s v=""/>
    <n v="169"/>
    <x v="458"/>
    <x v="458"/>
    <n v="3058"/>
    <n v="220"/>
    <n v="567.84"/>
    <x v="19"/>
    <x v="1"/>
    <x v="4"/>
    <s v="Efetivo"/>
    <s v="N"/>
    <s v="Gerente"/>
    <s v="KME6012-QRA"/>
    <n v="28"/>
    <n v="40"/>
    <m/>
    <n v="111"/>
    <m/>
    <m/>
    <s v="011"/>
  </r>
  <r>
    <n v="464"/>
    <n v="697100232"/>
    <x v="463"/>
    <n v="1168"/>
    <x v="0"/>
    <x v="463"/>
    <s v="wesley.teixeira"/>
    <x v="447"/>
    <n v="44222034"/>
    <m/>
    <m/>
    <n v="42325"/>
    <m/>
    <s v=""/>
    <n v="156"/>
    <x v="459"/>
    <x v="459"/>
    <n v="297.2"/>
    <n v="220"/>
    <n v="524.16"/>
    <x v="1"/>
    <x v="1"/>
    <x v="1"/>
    <s v="Efetivo"/>
    <s v="N"/>
    <s v="Gerente"/>
    <s v="IXC2806-PWT"/>
    <n v="31"/>
    <n v="28"/>
    <m/>
    <n v="36"/>
    <m/>
    <m/>
    <s v="545"/>
  </r>
  <r>
    <n v="465"/>
    <n v="272662712"/>
    <x v="464"/>
    <n v="6172"/>
    <x v="1"/>
    <x v="464"/>
    <s v="luis.gabriel"/>
    <x v="448"/>
    <n v="27776120"/>
    <m/>
    <m/>
    <n v="41285"/>
    <m/>
    <s v=""/>
    <n v="181"/>
    <x v="460"/>
    <x v="460"/>
    <n v="4139.8"/>
    <n v="286"/>
    <n v="608.16"/>
    <x v="19"/>
    <x v="1"/>
    <x v="4"/>
    <s v="Efetivo"/>
    <s v="N"/>
    <s v="Gerente"/>
    <s v="PRM5839-REE"/>
    <n v="20"/>
    <n v="8"/>
    <m/>
    <n v="126"/>
    <m/>
    <m/>
    <s v="011"/>
  </r>
  <r>
    <n v="466"/>
    <n v="409313286"/>
    <x v="465"/>
    <n v="7796"/>
    <x v="0"/>
    <x v="465"/>
    <s v="luiza.monnerat"/>
    <x v="449"/>
    <n v="39027676"/>
    <m/>
    <m/>
    <n v="41163"/>
    <m/>
    <s v=""/>
    <n v="181"/>
    <x v="461"/>
    <x v="461"/>
    <n v="367.6"/>
    <n v="308"/>
    <n v="608.16"/>
    <x v="7"/>
    <x v="3"/>
    <x v="2"/>
    <s v="Terceiro"/>
    <s v="N"/>
    <s v="RH"/>
    <s v="SCI9618-EDJ"/>
    <n v="139"/>
    <n v="54"/>
    <m/>
    <n v="123"/>
    <m/>
    <m/>
    <s v="213"/>
  </r>
  <r>
    <n v="467"/>
    <n v="999755810"/>
    <x v="466"/>
    <n v="2435"/>
    <x v="0"/>
    <x v="466"/>
    <s v="daniel.garcia"/>
    <x v="450"/>
    <n v="27349620"/>
    <m/>
    <m/>
    <n v="39017"/>
    <m/>
    <s v=""/>
    <n v="220"/>
    <x v="462"/>
    <x v="462"/>
    <n v="4603.6000000000004"/>
    <n v="308"/>
    <n v="739.19999999999993"/>
    <x v="15"/>
    <x v="2"/>
    <x v="1"/>
    <s v="Terceiro"/>
    <s v="N"/>
    <s v="RH"/>
    <s v="XAA6375-SPD"/>
    <n v="95"/>
    <n v="1"/>
    <m/>
    <n v="167"/>
    <m/>
    <m/>
    <s v="545"/>
  </r>
  <r>
    <n v="468"/>
    <n v="656871927"/>
    <x v="467"/>
    <n v="3451"/>
    <x v="0"/>
    <x v="467"/>
    <s v="luiz.mattos"/>
    <x v="451"/>
    <n v="35332610"/>
    <m/>
    <m/>
    <n v="40448"/>
    <m/>
    <s v=""/>
    <n v="239"/>
    <x v="463"/>
    <x v="463"/>
    <n v="1601"/>
    <n v="198"/>
    <n v="803.04"/>
    <x v="10"/>
    <x v="3"/>
    <x v="1"/>
    <s v="Terceiro"/>
    <s v="N"/>
    <s v="RH"/>
    <s v="AEO8954-IVJ"/>
    <n v="63"/>
    <n v="56"/>
    <m/>
    <n v="38"/>
    <m/>
    <m/>
    <s v="545"/>
  </r>
  <r>
    <n v="469"/>
    <n v="762627169"/>
    <x v="468"/>
    <n v="2795"/>
    <x v="1"/>
    <x v="468"/>
    <s v="andré.brito"/>
    <x v="452"/>
    <n v="40207009"/>
    <m/>
    <m/>
    <n v="42363"/>
    <m/>
    <s v=""/>
    <n v="242"/>
    <x v="464"/>
    <x v="464"/>
    <n v="218.8"/>
    <n v="176"/>
    <n v="813.12"/>
    <x v="18"/>
    <x v="1"/>
    <x v="0"/>
    <s v="Efetivo"/>
    <s v="N"/>
    <s v="Gerente"/>
    <s v="JXC7224-SXB"/>
    <n v="50"/>
    <n v="0"/>
    <m/>
    <n v="196"/>
    <m/>
    <m/>
    <s v="010"/>
  </r>
  <r>
    <n v="470"/>
    <n v="532933077"/>
    <x v="469"/>
    <n v="7243"/>
    <x v="1"/>
    <x v="469"/>
    <s v="lucas.alvim"/>
    <x v="453"/>
    <n v="46255217"/>
    <m/>
    <m/>
    <n v="40322"/>
    <m/>
    <s v=""/>
    <n v="244"/>
    <x v="465"/>
    <x v="465"/>
    <n v="4407.8"/>
    <n v="286"/>
    <n v="819.84"/>
    <x v="16"/>
    <x v="4"/>
    <x v="0"/>
    <s v="Efetivo"/>
    <s v="S"/>
    <s v="RH"/>
    <s v="EEG9763-DXS"/>
    <n v="61"/>
    <n v="40"/>
    <m/>
    <n v="42"/>
    <m/>
    <m/>
    <s v="010"/>
  </r>
  <r>
    <n v="471"/>
    <n v="463294612"/>
    <x v="470"/>
    <n v="3793"/>
    <x v="1"/>
    <x v="470"/>
    <s v="júlia.oliveira"/>
    <x v="454"/>
    <n v="37617949"/>
    <m/>
    <m/>
    <n v="37377"/>
    <m/>
    <s v=""/>
    <n v="232"/>
    <x v="466"/>
    <x v="466"/>
    <n v="1445.6000000000001"/>
    <n v="286"/>
    <n v="779.52"/>
    <x v="19"/>
    <x v="1"/>
    <x v="4"/>
    <s v="Efetivo"/>
    <s v="N"/>
    <s v="Gerente"/>
    <s v="EML3792-XLB"/>
    <n v="104"/>
    <n v="35"/>
    <m/>
    <n v="185"/>
    <m/>
    <m/>
    <s v="011"/>
  </r>
  <r>
    <n v="472"/>
    <n v="474469011"/>
    <x v="471"/>
    <n v="6983"/>
    <x v="1"/>
    <x v="471"/>
    <s v="bruna.oliveira"/>
    <x v="455"/>
    <n v="39964322"/>
    <m/>
    <m/>
    <n v="40463"/>
    <m/>
    <d v="2012-06-10T00:00:00"/>
    <n v="210"/>
    <x v="467"/>
    <x v="467"/>
    <n v="2110.2000000000003"/>
    <n v="198"/>
    <n v="705.6"/>
    <x v="17"/>
    <x v="2"/>
    <x v="4"/>
    <s v="Terceiro"/>
    <s v="N"/>
    <s v="RH"/>
    <s v="QHP8469-ZXV"/>
    <n v="111"/>
    <n v="35"/>
    <m/>
    <n v="30"/>
    <m/>
    <m/>
    <s v="011"/>
  </r>
  <r>
    <n v="473"/>
    <n v="690599885"/>
    <x v="472"/>
    <n v="3485"/>
    <x v="1"/>
    <x v="472"/>
    <s v="vinícius.lencastre"/>
    <x v="456"/>
    <n v="29812883"/>
    <m/>
    <m/>
    <n v="37172"/>
    <m/>
    <s v=""/>
    <n v="155"/>
    <x v="468"/>
    <x v="468"/>
    <n v="2368.6"/>
    <n v="286"/>
    <n v="520.80000000000007"/>
    <x v="9"/>
    <x v="1"/>
    <x v="3"/>
    <s v="Efetivo"/>
    <s v="N"/>
    <s v="Gerente"/>
    <s v="IZZ8128-WWE"/>
    <n v="135"/>
    <n v="2"/>
    <m/>
    <n v="157"/>
    <m/>
    <m/>
    <s v="322"/>
  </r>
  <r>
    <n v="474"/>
    <n v="747804546"/>
    <x v="473"/>
    <n v="4720"/>
    <x v="0"/>
    <x v="473"/>
    <s v="daniel.machado"/>
    <x v="457"/>
    <n v="30624694"/>
    <m/>
    <m/>
    <n v="41757"/>
    <m/>
    <s v=""/>
    <n v="231"/>
    <x v="469"/>
    <x v="469"/>
    <n v="1398.4"/>
    <n v="176"/>
    <n v="776.16"/>
    <x v="3"/>
    <x v="2"/>
    <x v="2"/>
    <s v="Terceiro"/>
    <s v="N"/>
    <s v="RH"/>
    <s v="DXC9262-KXA"/>
    <n v="124"/>
    <n v="55"/>
    <m/>
    <n v="196"/>
    <m/>
    <m/>
    <s v="213"/>
  </r>
  <r>
    <n v="475"/>
    <n v="723955185"/>
    <x v="474"/>
    <n v="2484"/>
    <x v="0"/>
    <x v="474"/>
    <s v="breno.silva"/>
    <x v="458"/>
    <n v="47304266"/>
    <m/>
    <m/>
    <n v="41421"/>
    <m/>
    <s v=""/>
    <n v="205"/>
    <x v="470"/>
    <x v="470"/>
    <n v="1648.2"/>
    <n v="264"/>
    <n v="688.80000000000007"/>
    <x v="15"/>
    <x v="2"/>
    <x v="1"/>
    <s v="Terceiro"/>
    <s v="N"/>
    <s v="RH"/>
    <s v="GBA8017-OVP"/>
    <n v="96"/>
    <n v="57"/>
    <m/>
    <n v="50"/>
    <m/>
    <m/>
    <s v="545"/>
  </r>
  <r>
    <n v="476"/>
    <n v="198675604"/>
    <x v="475"/>
    <n v="6626"/>
    <x v="1"/>
    <x v="475"/>
    <s v="renata.oliveira"/>
    <x v="459"/>
    <n v="26064205"/>
    <m/>
    <m/>
    <n v="39057"/>
    <m/>
    <s v=""/>
    <n v="157"/>
    <x v="471"/>
    <x v="471"/>
    <n v="508.6"/>
    <n v="198"/>
    <n v="527.52"/>
    <x v="1"/>
    <x v="1"/>
    <x v="1"/>
    <s v="Efetivo"/>
    <s v="N"/>
    <s v="Gerente"/>
    <s v="PJN9187-ZYF"/>
    <n v="143"/>
    <n v="41"/>
    <m/>
    <n v="122"/>
    <m/>
    <m/>
    <s v="545"/>
  </r>
  <r>
    <n v="477"/>
    <n v="873349300"/>
    <x v="476"/>
    <n v="4341"/>
    <x v="1"/>
    <x v="476"/>
    <s v="thayane.santos"/>
    <x v="460"/>
    <n v="43044579"/>
    <m/>
    <m/>
    <n v="40128"/>
    <m/>
    <s v=""/>
    <n v="222"/>
    <x v="472"/>
    <x v="472"/>
    <n v="3237.4"/>
    <n v="308"/>
    <n v="745.92000000000007"/>
    <x v="21"/>
    <x v="4"/>
    <x v="2"/>
    <s v="Efetivo"/>
    <s v="S"/>
    <s v="RH"/>
    <s v="OPC7045-TPG"/>
    <n v="119"/>
    <n v="47"/>
    <m/>
    <n v="8"/>
    <m/>
    <m/>
    <s v="213"/>
  </r>
  <r>
    <n v="478"/>
    <n v="863391666"/>
    <x v="477"/>
    <n v="5699"/>
    <x v="1"/>
    <x v="477"/>
    <s v="ramon.bergara"/>
    <x v="461"/>
    <n v="28677999"/>
    <m/>
    <m/>
    <n v="39382"/>
    <m/>
    <s v=""/>
    <n v="244"/>
    <x v="473"/>
    <x v="473"/>
    <n v="1908.4"/>
    <n v="220"/>
    <n v="819.84"/>
    <x v="19"/>
    <x v="1"/>
    <x v="4"/>
    <s v="Efetivo"/>
    <s v="N"/>
    <s v="Gerente"/>
    <s v="LKQ3800-STK"/>
    <n v="81"/>
    <n v="10"/>
    <m/>
    <n v="108"/>
    <m/>
    <m/>
    <s v="011"/>
  </r>
  <r>
    <n v="479"/>
    <n v="630717376"/>
    <x v="478"/>
    <n v="1217"/>
    <x v="1"/>
    <x v="478"/>
    <s v="joão.silva"/>
    <x v="462"/>
    <n v="37897262"/>
    <m/>
    <m/>
    <n v="42248"/>
    <m/>
    <s v=""/>
    <n v="223"/>
    <x v="474"/>
    <x v="474"/>
    <n v="4359.2"/>
    <n v="242"/>
    <n v="749.28000000000009"/>
    <x v="24"/>
    <x v="0"/>
    <x v="4"/>
    <s v="Efetivo"/>
    <s v="S"/>
    <s v="Diretoria"/>
    <s v="QGP4693-PCR"/>
    <n v="49"/>
    <n v="54"/>
    <m/>
    <n v="0"/>
    <m/>
    <m/>
    <s v="011"/>
  </r>
  <r>
    <n v="480"/>
    <n v="997859911"/>
    <x v="479"/>
    <n v="5430"/>
    <x v="1"/>
    <x v="479"/>
    <s v="mauricio.jardim"/>
    <x v="463"/>
    <n v="47011874"/>
    <m/>
    <m/>
    <n v="35513"/>
    <m/>
    <s v=""/>
    <n v="167"/>
    <x v="475"/>
    <x v="475"/>
    <n v="913.2"/>
    <n v="308"/>
    <n v="561.12"/>
    <x v="8"/>
    <x v="4"/>
    <x v="1"/>
    <s v="Efetivo"/>
    <s v="S"/>
    <s v="Diretoria"/>
    <s v="CXQ4485-TJT"/>
    <n v="140"/>
    <n v="22"/>
    <m/>
    <n v="195"/>
    <m/>
    <m/>
    <s v="545"/>
  </r>
  <r>
    <n v="481"/>
    <n v="830959072"/>
    <x v="480"/>
    <n v="3472"/>
    <x v="1"/>
    <x v="480"/>
    <s v="lais.cormack"/>
    <x v="464"/>
    <n v="35147794"/>
    <m/>
    <m/>
    <n v="39935"/>
    <m/>
    <s v=""/>
    <n v="243"/>
    <x v="476"/>
    <x v="476"/>
    <n v="1766.4"/>
    <n v="198"/>
    <n v="816.48"/>
    <x v="16"/>
    <x v="4"/>
    <x v="0"/>
    <s v="Efetivo"/>
    <s v="S"/>
    <s v="RH"/>
    <s v="RHB2967-WCC"/>
    <n v="134"/>
    <n v="31"/>
    <m/>
    <n v="44"/>
    <m/>
    <m/>
    <s v="010"/>
  </r>
  <r>
    <n v="482"/>
    <n v="557721604"/>
    <x v="481"/>
    <n v="7215"/>
    <x v="0"/>
    <x v="481"/>
    <s v="milena.fernandes"/>
    <x v="465"/>
    <n v="43372960"/>
    <m/>
    <m/>
    <n v="33244"/>
    <m/>
    <s v=""/>
    <n v="230"/>
    <x v="477"/>
    <x v="477"/>
    <n v="2527.2000000000003"/>
    <n v="220"/>
    <n v="772.80000000000007"/>
    <x v="10"/>
    <x v="3"/>
    <x v="1"/>
    <s v="Terceiro"/>
    <s v="N"/>
    <s v="RH"/>
    <s v="JBE7897-UTX"/>
    <n v="113"/>
    <n v="19"/>
    <m/>
    <n v="54"/>
    <m/>
    <m/>
    <s v="545"/>
  </r>
  <r>
    <n v="483"/>
    <n v="880209213"/>
    <x v="482"/>
    <n v="6927"/>
    <x v="1"/>
    <x v="482"/>
    <s v="paloma.santos"/>
    <x v="466"/>
    <n v="36077010"/>
    <m/>
    <m/>
    <n v="39065"/>
    <m/>
    <s v=""/>
    <n v="219"/>
    <x v="478"/>
    <x v="478"/>
    <n v="243.4"/>
    <n v="154"/>
    <n v="735.84"/>
    <x v="17"/>
    <x v="2"/>
    <x v="4"/>
    <s v="Terceiro"/>
    <s v="N"/>
    <s v="RH"/>
    <s v="LIK7648-UXH"/>
    <n v="105"/>
    <n v="58"/>
    <m/>
    <n v="72"/>
    <m/>
    <m/>
    <s v="011"/>
  </r>
  <r>
    <n v="484"/>
    <n v="858876368"/>
    <x v="483"/>
    <n v="3276"/>
    <x v="1"/>
    <x v="483"/>
    <s v="pedro.silva"/>
    <x v="467"/>
    <n v="39863490"/>
    <m/>
    <m/>
    <n v="33938"/>
    <m/>
    <s v=""/>
    <n v="188"/>
    <x v="479"/>
    <x v="479"/>
    <n v="3184.4"/>
    <n v="176"/>
    <n v="631.67999999999995"/>
    <x v="16"/>
    <x v="4"/>
    <x v="0"/>
    <s v="Efetivo"/>
    <s v="S"/>
    <s v="RH"/>
    <s v="KXV4063-KSX"/>
    <n v="113"/>
    <n v="44"/>
    <m/>
    <n v="159"/>
    <m/>
    <m/>
    <s v="010"/>
  </r>
  <r>
    <n v="485"/>
    <n v="694770248"/>
    <x v="484"/>
    <n v="1525"/>
    <x v="0"/>
    <x v="484"/>
    <s v="luisa.costa"/>
    <x v="468"/>
    <n v="36876726"/>
    <m/>
    <m/>
    <n v="42134"/>
    <m/>
    <s v=""/>
    <n v="198"/>
    <x v="480"/>
    <x v="480"/>
    <n v="3660.8"/>
    <n v="286"/>
    <n v="665.28000000000009"/>
    <x v="18"/>
    <x v="1"/>
    <x v="0"/>
    <s v="Efetivo"/>
    <s v="N"/>
    <s v="Gerente"/>
    <s v="UYP5300-ZGV"/>
    <n v="126"/>
    <n v="52"/>
    <m/>
    <n v="106"/>
    <m/>
    <m/>
    <s v="010"/>
  </r>
  <r>
    <n v="486"/>
    <n v="449727193"/>
    <x v="485"/>
    <n v="5737"/>
    <x v="1"/>
    <x v="485"/>
    <s v="beatriz.oliveira"/>
    <x v="469"/>
    <n v="42038649"/>
    <m/>
    <m/>
    <n v="37184"/>
    <m/>
    <s v=""/>
    <n v="179"/>
    <x v="481"/>
    <x v="481"/>
    <n v="3071.2000000000003"/>
    <n v="242"/>
    <n v="601.44000000000005"/>
    <x v="17"/>
    <x v="2"/>
    <x v="4"/>
    <s v="Terceiro"/>
    <s v="N"/>
    <s v="RH"/>
    <s v="TJZ5621-ZGI"/>
    <n v="99"/>
    <n v="36"/>
    <m/>
    <n v="2"/>
    <m/>
    <m/>
    <s v="011"/>
  </r>
  <r>
    <n v="487"/>
    <n v="863737321"/>
    <x v="486"/>
    <n v="6327"/>
    <x v="1"/>
    <x v="486"/>
    <s v="priscilla.tagliari"/>
    <x v="470"/>
    <n v="30615672"/>
    <m/>
    <m/>
    <n v="42001"/>
    <m/>
    <s v=""/>
    <n v="243"/>
    <x v="482"/>
    <x v="482"/>
    <n v="1360.6000000000001"/>
    <n v="286"/>
    <n v="816.48"/>
    <x v="0"/>
    <x v="0"/>
    <x v="0"/>
    <s v="Efetivo"/>
    <s v="S"/>
    <s v="Diretoria"/>
    <s v="XYX6389-VSE"/>
    <n v="126"/>
    <n v="54"/>
    <m/>
    <n v="87"/>
    <m/>
    <m/>
    <s v="010"/>
  </r>
  <r>
    <n v="488"/>
    <n v="855410323"/>
    <x v="487"/>
    <n v="5521"/>
    <x v="0"/>
    <x v="487"/>
    <s v="stefan.silva"/>
    <x v="471"/>
    <n v="39081452"/>
    <m/>
    <m/>
    <n v="40635"/>
    <m/>
    <s v=""/>
    <n v="208"/>
    <x v="483"/>
    <x v="483"/>
    <n v="2761.6000000000004"/>
    <n v="176"/>
    <n v="698.88"/>
    <x v="14"/>
    <x v="3"/>
    <x v="3"/>
    <s v="Terceiro"/>
    <s v="N"/>
    <s v="RH"/>
    <s v="SJI5014-MFA"/>
    <n v="80"/>
    <n v="26"/>
    <m/>
    <n v="142"/>
    <m/>
    <m/>
    <s v="322"/>
  </r>
  <r>
    <n v="489"/>
    <n v="399085305"/>
    <x v="488"/>
    <n v="5022"/>
    <x v="1"/>
    <x v="488"/>
    <s v="eduardo.carvalho"/>
    <x v="472"/>
    <n v="36444182"/>
    <m/>
    <m/>
    <n v="42861"/>
    <m/>
    <s v=""/>
    <n v="154"/>
    <x v="484"/>
    <x v="484"/>
    <n v="454"/>
    <n v="198"/>
    <n v="517.44000000000005"/>
    <x v="0"/>
    <x v="0"/>
    <x v="0"/>
    <s v="Efetivo"/>
    <s v="S"/>
    <s v="Diretoria"/>
    <s v="ZSD7071-MXU"/>
    <n v="45"/>
    <n v="49"/>
    <m/>
    <n v="19"/>
    <m/>
    <m/>
    <s v="010"/>
  </r>
  <r>
    <n v="490"/>
    <n v="412671736"/>
    <x v="489"/>
    <n v="3726"/>
    <x v="1"/>
    <x v="489"/>
    <s v="pedro.jardim"/>
    <x v="473"/>
    <n v="27781414"/>
    <m/>
    <m/>
    <n v="42016"/>
    <m/>
    <s v=""/>
    <n v="173"/>
    <x v="485"/>
    <x v="485"/>
    <n v="2234.2000000000003"/>
    <n v="286"/>
    <n v="581.28000000000009"/>
    <x v="7"/>
    <x v="3"/>
    <x v="2"/>
    <s v="Terceiro"/>
    <s v="N"/>
    <s v="RH"/>
    <s v="XRF9452-JGO"/>
    <n v="106"/>
    <n v="49"/>
    <m/>
    <n v="120"/>
    <m/>
    <m/>
    <s v="213"/>
  </r>
  <r>
    <n v="491"/>
    <n v="951369560"/>
    <x v="490"/>
    <n v="4507"/>
    <x v="1"/>
    <x v="490"/>
    <s v="mariana.sartorio"/>
    <x v="474"/>
    <n v="24999418"/>
    <m/>
    <m/>
    <n v="38001"/>
    <m/>
    <s v=""/>
    <n v="225"/>
    <x v="486"/>
    <x v="486"/>
    <n v="3253.4"/>
    <n v="308"/>
    <n v="756"/>
    <x v="17"/>
    <x v="2"/>
    <x v="4"/>
    <s v="Terceiro"/>
    <s v="N"/>
    <s v="RH"/>
    <s v="MOW8630-TZB"/>
    <n v="68"/>
    <n v="12"/>
    <m/>
    <n v="155"/>
    <m/>
    <m/>
    <s v="011"/>
  </r>
  <r>
    <n v="492"/>
    <n v="525819007"/>
    <x v="491"/>
    <n v="3590"/>
    <x v="1"/>
    <x v="491"/>
    <s v="thomaz.silva"/>
    <x v="475"/>
    <n v="48582614"/>
    <m/>
    <m/>
    <n v="41313"/>
    <m/>
    <s v=""/>
    <n v="174"/>
    <x v="487"/>
    <x v="487"/>
    <n v="1533"/>
    <n v="176"/>
    <n v="584.64"/>
    <x v="19"/>
    <x v="1"/>
    <x v="4"/>
    <s v="Efetivo"/>
    <s v="N"/>
    <s v="Gerente"/>
    <s v="EYM4789-ORZ"/>
    <n v="84"/>
    <n v="54"/>
    <m/>
    <n v="182"/>
    <m/>
    <m/>
    <s v="011"/>
  </r>
  <r>
    <n v="493"/>
    <n v="728334741"/>
    <x v="492"/>
    <n v="5312"/>
    <x v="1"/>
    <x v="492"/>
    <s v="pedro.bôas"/>
    <x v="476"/>
    <n v="38452533"/>
    <m/>
    <m/>
    <n v="39480"/>
    <m/>
    <d v="2013-03-28T00:00:00"/>
    <n v="196"/>
    <x v="488"/>
    <x v="488"/>
    <n v="993.6"/>
    <n v="286"/>
    <n v="658.56"/>
    <x v="1"/>
    <x v="1"/>
    <x v="1"/>
    <s v="Efetivo"/>
    <s v="N"/>
    <s v="Gerente"/>
    <s v="UJK3777-KIG"/>
    <n v="75"/>
    <n v="27"/>
    <m/>
    <n v="29"/>
    <m/>
    <m/>
    <s v="545"/>
  </r>
  <r>
    <n v="494"/>
    <n v="307135080"/>
    <x v="493"/>
    <n v="1504"/>
    <x v="0"/>
    <x v="493"/>
    <s v="helena.peixoto"/>
    <x v="477"/>
    <n v="28668019"/>
    <m/>
    <m/>
    <n v="36968"/>
    <m/>
    <s v=""/>
    <n v="205"/>
    <x v="489"/>
    <x v="489"/>
    <n v="3324.2000000000003"/>
    <n v="154"/>
    <n v="688.80000000000007"/>
    <x v="14"/>
    <x v="3"/>
    <x v="3"/>
    <s v="Terceiro"/>
    <s v="N"/>
    <s v="RH"/>
    <s v="YGU3034-TQK"/>
    <n v="77"/>
    <n v="52"/>
    <m/>
    <n v="200"/>
    <m/>
    <m/>
    <s v="322"/>
  </r>
  <r>
    <n v="495"/>
    <n v="982291303"/>
    <x v="494"/>
    <n v="5942"/>
    <x v="0"/>
    <x v="494"/>
    <s v="carolina.marques"/>
    <x v="478"/>
    <n v="39068531"/>
    <m/>
    <m/>
    <n v="41956"/>
    <m/>
    <d v="2018-01-05T00:00:00"/>
    <n v="229"/>
    <x v="490"/>
    <x v="490"/>
    <n v="1072.6000000000001"/>
    <n v="198"/>
    <n v="769.44"/>
    <x v="10"/>
    <x v="3"/>
    <x v="1"/>
    <s v="Terceiro"/>
    <s v="N"/>
    <s v="RH"/>
    <s v="OZT3825-SCD"/>
    <n v="96"/>
    <n v="20"/>
    <m/>
    <n v="34"/>
    <m/>
    <m/>
    <s v="545"/>
  </r>
  <r>
    <n v="496"/>
    <n v="243564935"/>
    <x v="495"/>
    <n v="4146"/>
    <x v="1"/>
    <x v="495"/>
    <s v="nicolas.leite"/>
    <x v="479"/>
    <n v="47790880"/>
    <m/>
    <m/>
    <n v="40616"/>
    <m/>
    <s v=""/>
    <n v="230"/>
    <x v="491"/>
    <x v="491"/>
    <n v="1342"/>
    <n v="308"/>
    <n v="772.80000000000007"/>
    <x v="19"/>
    <x v="1"/>
    <x v="4"/>
    <s v="Efetivo"/>
    <s v="N"/>
    <s v="Gerente"/>
    <s v="RUE4183-VKX"/>
    <n v="57"/>
    <n v="3"/>
    <m/>
    <n v="40"/>
    <m/>
    <m/>
    <s v="011"/>
  </r>
  <r>
    <n v="497"/>
    <n v="837201753"/>
    <x v="496"/>
    <n v="2031"/>
    <x v="1"/>
    <x v="496"/>
    <s v="joão.resinente"/>
    <x v="480"/>
    <n v="40511266"/>
    <m/>
    <m/>
    <n v="41893"/>
    <m/>
    <s v=""/>
    <n v="247"/>
    <x v="492"/>
    <x v="492"/>
    <n v="4651.2"/>
    <n v="308"/>
    <n v="829.92000000000007"/>
    <x v="3"/>
    <x v="2"/>
    <x v="2"/>
    <s v="Terceiro"/>
    <s v="N"/>
    <s v="RH"/>
    <s v="BUP1490-QQG"/>
    <n v="144"/>
    <n v="32"/>
    <m/>
    <n v="132"/>
    <m/>
    <m/>
    <s v="213"/>
  </r>
  <r>
    <n v="498"/>
    <n v="413322638"/>
    <x v="497"/>
    <n v="5238"/>
    <x v="1"/>
    <x v="497"/>
    <s v="luize.costa"/>
    <x v="481"/>
    <n v="23488648"/>
    <m/>
    <m/>
    <n v="41286"/>
    <m/>
    <s v=""/>
    <n v="151"/>
    <x v="493"/>
    <x v="493"/>
    <n v="3432.4"/>
    <n v="176"/>
    <n v="507.36"/>
    <x v="7"/>
    <x v="3"/>
    <x v="2"/>
    <s v="Terceiro"/>
    <s v="N"/>
    <s v="RH"/>
    <s v="ORU6967-XQG"/>
    <n v="139"/>
    <n v="56"/>
    <m/>
    <n v="11"/>
    <m/>
    <m/>
    <s v="213"/>
  </r>
  <r>
    <n v="499"/>
    <n v="152005418"/>
    <x v="498"/>
    <n v="1655"/>
    <x v="0"/>
    <x v="498"/>
    <s v="bárbara.gonçalves"/>
    <x v="482"/>
    <n v="35329849"/>
    <m/>
    <m/>
    <n v="40436"/>
    <m/>
    <s v=""/>
    <n v="173"/>
    <x v="494"/>
    <x v="494"/>
    <n v="4067.6000000000004"/>
    <n v="286"/>
    <n v="581.28000000000009"/>
    <x v="19"/>
    <x v="1"/>
    <x v="4"/>
    <s v="Efetivo"/>
    <s v="N"/>
    <s v="Gerente"/>
    <s v="HQS6481-FQZ"/>
    <n v="73"/>
    <n v="19"/>
    <m/>
    <n v="1"/>
    <m/>
    <m/>
    <s v="011"/>
  </r>
  <r>
    <n v="500"/>
    <n v="854512164"/>
    <x v="499"/>
    <n v="3309"/>
    <x v="0"/>
    <x v="499"/>
    <s v="carolina.calafate"/>
    <x v="483"/>
    <n v="25515718"/>
    <m/>
    <m/>
    <n v="40557"/>
    <m/>
    <d v="2017-03-03T00:00:00"/>
    <n v="205"/>
    <x v="495"/>
    <x v="495"/>
    <n v="2659.2000000000003"/>
    <n v="198"/>
    <n v="688.80000000000007"/>
    <x v="15"/>
    <x v="2"/>
    <x v="1"/>
    <s v="Terceiro"/>
    <s v="N"/>
    <s v="RH"/>
    <s v="YXK9566-ZEN"/>
    <n v="115"/>
    <n v="51"/>
    <m/>
    <n v="166"/>
    <m/>
    <m/>
    <s v="545"/>
  </r>
  <r>
    <n v="501"/>
    <n v="143836000"/>
    <x v="500"/>
    <n v="2648"/>
    <x v="1"/>
    <x v="500"/>
    <s v="yuri.vasconcelos"/>
    <x v="484"/>
    <n v="40170885"/>
    <m/>
    <m/>
    <n v="37564"/>
    <m/>
    <d v="2009-05-05T00:00:00"/>
    <n v="190"/>
    <x v="496"/>
    <x v="496"/>
    <n v="3921.8"/>
    <n v="264"/>
    <n v="638.4"/>
    <x v="3"/>
    <x v="2"/>
    <x v="2"/>
    <s v="Terceiro"/>
    <s v="N"/>
    <s v="RH"/>
    <s v="DRF3116-OJS"/>
    <n v="145"/>
    <n v="26"/>
    <m/>
    <n v="99"/>
    <m/>
    <m/>
    <s v="213"/>
  </r>
  <r>
    <n v="502"/>
    <n v="575413219"/>
    <x v="501"/>
    <n v="4058"/>
    <x v="1"/>
    <x v="501"/>
    <s v="mateus.silva"/>
    <x v="196"/>
    <n v="48962482"/>
    <m/>
    <m/>
    <n v="39354"/>
    <m/>
    <s v=""/>
    <n v="225"/>
    <x v="497"/>
    <x v="497"/>
    <n v="4814"/>
    <n v="308"/>
    <n v="756"/>
    <x v="24"/>
    <x v="0"/>
    <x v="4"/>
    <s v="Efetivo"/>
    <s v="S"/>
    <s v="Diretoria"/>
    <s v="VCL8538-VFP"/>
    <n v="133"/>
    <n v="44"/>
    <m/>
    <n v="197"/>
    <m/>
    <m/>
    <s v="011"/>
  </r>
  <r>
    <n v="503"/>
    <n v="511104966"/>
    <x v="502"/>
    <n v="4113"/>
    <x v="0"/>
    <x v="502"/>
    <s v="mariana.alexandre"/>
    <x v="485"/>
    <n v="31383800"/>
    <m/>
    <m/>
    <n v="39972"/>
    <m/>
    <s v=""/>
    <n v="167"/>
    <x v="498"/>
    <x v="498"/>
    <n v="3451.6000000000004"/>
    <n v="286"/>
    <n v="561.12"/>
    <x v="20"/>
    <x v="3"/>
    <x v="0"/>
    <s v="Terceiro"/>
    <s v="N"/>
    <s v="RH"/>
    <s v="GAC6850-MHE"/>
    <n v="147"/>
    <n v="30"/>
    <m/>
    <n v="127"/>
    <m/>
    <m/>
    <s v="010"/>
  </r>
  <r>
    <n v="504"/>
    <n v="186440635"/>
    <x v="503"/>
    <n v="6365"/>
    <x v="1"/>
    <x v="503"/>
    <s v="diego.teixeira"/>
    <x v="486"/>
    <n v="35106746"/>
    <m/>
    <m/>
    <n v="39460"/>
    <m/>
    <d v="2012-10-02T00:00:00"/>
    <n v="247"/>
    <x v="499"/>
    <x v="499"/>
    <n v="1448"/>
    <n v="176"/>
    <n v="829.92000000000007"/>
    <x v="6"/>
    <x v="2"/>
    <x v="3"/>
    <s v="Terceiro"/>
    <s v="N"/>
    <s v="RH"/>
    <s v="MME3032-KZC"/>
    <n v="57"/>
    <n v="43"/>
    <m/>
    <n v="89"/>
    <m/>
    <m/>
    <s v="322"/>
  </r>
  <r>
    <n v="505"/>
    <n v="201184662"/>
    <x v="504"/>
    <n v="2192"/>
    <x v="1"/>
    <x v="504"/>
    <s v="paulo.mello"/>
    <x v="443"/>
    <n v="38947870"/>
    <m/>
    <m/>
    <n v="35492"/>
    <m/>
    <s v=""/>
    <n v="152"/>
    <x v="500"/>
    <x v="500"/>
    <n v="3958.4"/>
    <n v="242"/>
    <n v="510.71999999999997"/>
    <x v="17"/>
    <x v="2"/>
    <x v="4"/>
    <s v="Terceiro"/>
    <s v="N"/>
    <s v="RH"/>
    <s v="TFO7795-UXA"/>
    <n v="80"/>
    <n v="31"/>
    <m/>
    <n v="118"/>
    <m/>
    <m/>
    <s v="011"/>
  </r>
  <r>
    <n v="506"/>
    <n v="508564399"/>
    <x v="505"/>
    <n v="5637"/>
    <x v="0"/>
    <x v="505"/>
    <s v="bianca.lemos"/>
    <x v="487"/>
    <n v="44315832"/>
    <m/>
    <m/>
    <n v="37001"/>
    <m/>
    <s v=""/>
    <n v="220"/>
    <x v="501"/>
    <x v="501"/>
    <n v="4501.2"/>
    <n v="286"/>
    <n v="739.19999999999993"/>
    <x v="3"/>
    <x v="2"/>
    <x v="2"/>
    <s v="Terceiro"/>
    <s v="N"/>
    <s v="RH"/>
    <s v="BRH5565-QGH"/>
    <n v="65"/>
    <n v="8"/>
    <m/>
    <n v="188"/>
    <m/>
    <m/>
    <s v="213"/>
  </r>
  <r>
    <n v="507"/>
    <n v="654411966"/>
    <x v="506"/>
    <n v="7423"/>
    <x v="1"/>
    <x v="506"/>
    <s v="thiago.araújo"/>
    <x v="488"/>
    <n v="40606591"/>
    <m/>
    <m/>
    <n v="35071"/>
    <m/>
    <s v=""/>
    <n v="248"/>
    <x v="502"/>
    <x v="502"/>
    <n v="2745"/>
    <n v="176"/>
    <n v="833.28000000000009"/>
    <x v="4"/>
    <x v="2"/>
    <x v="0"/>
    <s v="Terceiro"/>
    <s v="N"/>
    <s v="RH"/>
    <s v="UBN6423-KEQ"/>
    <n v="79"/>
    <n v="36"/>
    <m/>
    <n v="107"/>
    <m/>
    <m/>
    <s v="010"/>
  </r>
  <r>
    <n v="508"/>
    <n v="437668993"/>
    <x v="507"/>
    <n v="1558"/>
    <x v="0"/>
    <x v="507"/>
    <s v="joão.negrelli"/>
    <x v="489"/>
    <n v="25921038"/>
    <m/>
    <m/>
    <n v="39605"/>
    <m/>
    <d v="2018-01-05T00:00:00"/>
    <n v="186"/>
    <x v="503"/>
    <x v="503"/>
    <n v="3851"/>
    <n v="286"/>
    <n v="624.96"/>
    <x v="6"/>
    <x v="2"/>
    <x v="3"/>
    <s v="Terceiro"/>
    <s v="N"/>
    <s v="RH"/>
    <s v="UOY9797-LMN"/>
    <n v="70"/>
    <n v="60"/>
    <m/>
    <n v="151"/>
    <m/>
    <m/>
    <s v="322"/>
  </r>
  <r>
    <n v="509"/>
    <n v="672059506"/>
    <x v="508"/>
    <n v="4027"/>
    <x v="1"/>
    <x v="508"/>
    <s v="joão.suzano"/>
    <x v="490"/>
    <n v="26986587"/>
    <m/>
    <m/>
    <n v="36659"/>
    <m/>
    <d v="2001-01-18T00:00:00"/>
    <n v="178"/>
    <x v="504"/>
    <x v="504"/>
    <n v="1617"/>
    <n v="242"/>
    <n v="598.07999999999993"/>
    <x v="15"/>
    <x v="2"/>
    <x v="1"/>
    <s v="Terceiro"/>
    <s v="N"/>
    <s v="RH"/>
    <s v="JRL8523-HHI"/>
    <n v="26"/>
    <n v="5"/>
    <m/>
    <n v="61"/>
    <m/>
    <m/>
    <s v="545"/>
  </r>
  <r>
    <n v="510"/>
    <n v="900385854"/>
    <x v="509"/>
    <n v="7846"/>
    <x v="1"/>
    <x v="509"/>
    <s v="bruna.carvalho"/>
    <x v="491"/>
    <n v="20768418"/>
    <m/>
    <m/>
    <n v="42878"/>
    <m/>
    <s v=""/>
    <n v="198"/>
    <x v="505"/>
    <x v="505"/>
    <n v="3186.8"/>
    <n v="154"/>
    <n v="665.28000000000009"/>
    <x v="19"/>
    <x v="1"/>
    <x v="4"/>
    <s v="Efetivo"/>
    <s v="N"/>
    <s v="Gerente"/>
    <s v="IRR4026-BKD"/>
    <n v="139"/>
    <n v="45"/>
    <m/>
    <n v="131"/>
    <m/>
    <m/>
    <s v="011"/>
  </r>
  <r>
    <n v="511"/>
    <n v="327053187"/>
    <x v="510"/>
    <n v="6604"/>
    <x v="1"/>
    <x v="510"/>
    <s v="samantha.pereira"/>
    <x v="492"/>
    <n v="49448178"/>
    <m/>
    <m/>
    <n v="36593"/>
    <m/>
    <s v=""/>
    <n v="194"/>
    <x v="506"/>
    <x v="506"/>
    <n v="811.80000000000007"/>
    <n v="308"/>
    <n v="651.84"/>
    <x v="16"/>
    <x v="4"/>
    <x v="0"/>
    <s v="Efetivo"/>
    <s v="S"/>
    <s v="RH"/>
    <s v="WDI7601-SWQ"/>
    <n v="86"/>
    <n v="9"/>
    <m/>
    <n v="109"/>
    <m/>
    <m/>
    <s v="010"/>
  </r>
  <r>
    <n v="512"/>
    <n v="788739752"/>
    <x v="511"/>
    <n v="2404"/>
    <x v="1"/>
    <x v="511"/>
    <s v="bruno.leme"/>
    <x v="493"/>
    <n v="23634331"/>
    <m/>
    <m/>
    <n v="41886"/>
    <m/>
    <s v=""/>
    <n v="190"/>
    <x v="507"/>
    <x v="507"/>
    <n v="282"/>
    <n v="154"/>
    <n v="638.4"/>
    <x v="6"/>
    <x v="2"/>
    <x v="3"/>
    <s v="Terceiro"/>
    <s v="N"/>
    <s v="RH"/>
    <s v="FSW8142-BGK"/>
    <n v="34"/>
    <n v="29"/>
    <m/>
    <n v="94"/>
    <m/>
    <m/>
    <s v="322"/>
  </r>
  <r>
    <n v="513"/>
    <n v="314022078"/>
    <x v="512"/>
    <n v="4157"/>
    <x v="1"/>
    <x v="62"/>
    <s v="joão.monteiro"/>
    <x v="494"/>
    <n v="20647131"/>
    <m/>
    <m/>
    <n v="39937"/>
    <m/>
    <s v=""/>
    <n v="173"/>
    <x v="508"/>
    <x v="508"/>
    <n v="1291"/>
    <n v="154"/>
    <n v="581.28000000000009"/>
    <x v="7"/>
    <x v="3"/>
    <x v="2"/>
    <s v="Terceiro"/>
    <s v="N"/>
    <s v="RH"/>
    <s v="MFU8949-QYK"/>
    <n v="32"/>
    <n v="59"/>
    <m/>
    <n v="8"/>
    <m/>
    <m/>
    <s v="213"/>
  </r>
  <r>
    <n v="514"/>
    <n v="554710395"/>
    <x v="513"/>
    <n v="4633"/>
    <x v="0"/>
    <x v="512"/>
    <s v="yago.oliveira"/>
    <x v="495"/>
    <n v="36968950"/>
    <m/>
    <m/>
    <n v="41548"/>
    <m/>
    <s v=""/>
    <n v="245"/>
    <x v="509"/>
    <x v="509"/>
    <n v="701"/>
    <n v="220"/>
    <n v="823.19999999999993"/>
    <x v="19"/>
    <x v="1"/>
    <x v="4"/>
    <s v="Efetivo"/>
    <s v="N"/>
    <s v="Gerente"/>
    <s v="ZSS7728-LIG"/>
    <n v="27"/>
    <n v="49"/>
    <m/>
    <n v="113"/>
    <m/>
    <m/>
    <s v="011"/>
  </r>
  <r>
    <n v="515"/>
    <n v="529249286"/>
    <x v="514"/>
    <n v="3915"/>
    <x v="0"/>
    <x v="513"/>
    <s v="leandro.tabet"/>
    <x v="496"/>
    <n v="42975724"/>
    <m/>
    <m/>
    <n v="38568"/>
    <m/>
    <d v="2015-07-14T00:00:00"/>
    <n v="156"/>
    <x v="510"/>
    <x v="510"/>
    <n v="2177"/>
    <n v="176"/>
    <n v="524.16"/>
    <x v="17"/>
    <x v="2"/>
    <x v="4"/>
    <s v="Terceiro"/>
    <s v="N"/>
    <s v="RH"/>
    <s v="RDS9332-AQO"/>
    <n v="149"/>
    <n v="21"/>
    <m/>
    <n v="120"/>
    <m/>
    <m/>
    <s v="011"/>
  </r>
  <r>
    <n v="516"/>
    <n v="158937359"/>
    <x v="515"/>
    <n v="6411"/>
    <x v="0"/>
    <x v="514"/>
    <s v="beatriz.virginio"/>
    <x v="497"/>
    <n v="30972933"/>
    <m/>
    <m/>
    <n v="36183"/>
    <m/>
    <d v="2004-03-14T00:00:00"/>
    <n v="189"/>
    <x v="511"/>
    <x v="511"/>
    <n v="2027.2"/>
    <n v="264"/>
    <n v="635.04"/>
    <x v="11"/>
    <x v="3"/>
    <x v="4"/>
    <s v="Terceiro"/>
    <s v="N"/>
    <s v="RH"/>
    <s v="OSL2416-ETO"/>
    <n v="126"/>
    <n v="3"/>
    <m/>
    <n v="62"/>
    <m/>
    <m/>
    <s v="011"/>
  </r>
  <r>
    <n v="517"/>
    <n v="296806913"/>
    <x v="516"/>
    <n v="1126"/>
    <x v="0"/>
    <x v="515"/>
    <s v="maria.mello"/>
    <x v="498"/>
    <n v="22600038"/>
    <m/>
    <m/>
    <n v="41892"/>
    <m/>
    <s v=""/>
    <n v="212"/>
    <x v="512"/>
    <x v="512"/>
    <n v="3616"/>
    <n v="308"/>
    <n v="712.32"/>
    <x v="15"/>
    <x v="2"/>
    <x v="1"/>
    <s v="Terceiro"/>
    <s v="N"/>
    <s v="RH"/>
    <s v="ZUF9288-NNM"/>
    <n v="42"/>
    <n v="7"/>
    <m/>
    <n v="12"/>
    <m/>
    <m/>
    <s v="545"/>
  </r>
  <r>
    <n v="518"/>
    <n v="895045907"/>
    <x v="517"/>
    <n v="5159"/>
    <x v="1"/>
    <x v="516"/>
    <s v="nuno.sampaio"/>
    <x v="499"/>
    <n v="32984429"/>
    <m/>
    <m/>
    <n v="41676"/>
    <m/>
    <s v=""/>
    <n v="244"/>
    <x v="513"/>
    <x v="513"/>
    <n v="1330.4"/>
    <n v="308"/>
    <n v="819.84"/>
    <x v="19"/>
    <x v="1"/>
    <x v="4"/>
    <s v="Efetivo"/>
    <s v="N"/>
    <s v="Gerente"/>
    <s v="ATA8785-ZEK"/>
    <n v="68"/>
    <n v="3"/>
    <m/>
    <n v="14"/>
    <n v="177"/>
    <m/>
    <s v="011"/>
  </r>
  <r>
    <n v="519"/>
    <n v="291183378"/>
    <x v="518"/>
    <n v="6099"/>
    <x v="1"/>
    <x v="517"/>
    <s v="manuela.martins"/>
    <x v="500"/>
    <n v="27050144"/>
    <m/>
    <m/>
    <n v="41343"/>
    <m/>
    <s v=""/>
    <n v="232"/>
    <x v="514"/>
    <x v="514"/>
    <n v="897.40000000000009"/>
    <n v="242"/>
    <n v="779.52"/>
    <x v="22"/>
    <x v="4"/>
    <x v="3"/>
    <s v="Efetivo"/>
    <s v="S"/>
    <s v="Diretoria"/>
    <s v="BZJ6113-DVL"/>
    <n v="69"/>
    <n v="41"/>
    <m/>
    <n v="58"/>
    <m/>
    <m/>
    <s v="322"/>
  </r>
  <r>
    <n v="520"/>
    <n v="942888625"/>
    <x v="519"/>
    <n v="6153"/>
    <x v="1"/>
    <x v="518"/>
    <s v="flávio.mendonça"/>
    <x v="501"/>
    <n v="43212305"/>
    <m/>
    <m/>
    <n v="41969"/>
    <m/>
    <s v=""/>
    <n v="176"/>
    <x v="515"/>
    <x v="515"/>
    <n v="2062.6"/>
    <n v="220"/>
    <n v="591.36"/>
    <x v="3"/>
    <x v="2"/>
    <x v="2"/>
    <s v="Terceiro"/>
    <s v="N"/>
    <s v="RH"/>
    <s v="WPN9829-NLY"/>
    <n v="111"/>
    <n v="3"/>
    <m/>
    <n v="166"/>
    <m/>
    <m/>
    <s v="213"/>
  </r>
  <r>
    <n v="521"/>
    <n v="978537053"/>
    <x v="520"/>
    <n v="6542"/>
    <x v="0"/>
    <x v="519"/>
    <s v="ébio.velucci"/>
    <x v="502"/>
    <n v="47974844"/>
    <m/>
    <m/>
    <n v="41174"/>
    <m/>
    <s v=""/>
    <n v="179"/>
    <x v="516"/>
    <x v="516"/>
    <n v="2280.6"/>
    <n v="198"/>
    <n v="601.44000000000005"/>
    <x v="2"/>
    <x v="1"/>
    <x v="2"/>
    <s v="Efetivo"/>
    <s v="N"/>
    <s v="Gerente"/>
    <s v="SQV8470-OAF"/>
    <n v="78"/>
    <n v="5"/>
    <m/>
    <n v="83"/>
    <m/>
    <m/>
    <s v="213"/>
  </r>
  <r>
    <n v="522"/>
    <n v="447186324"/>
    <x v="521"/>
    <n v="4781"/>
    <x v="1"/>
    <x v="520"/>
    <s v="victor.fonseca"/>
    <x v="503"/>
    <n v="32518801"/>
    <m/>
    <m/>
    <n v="42408"/>
    <m/>
    <d v="2018-01-05T00:00:00"/>
    <n v="173"/>
    <x v="517"/>
    <x v="517"/>
    <n v="4913.2000000000007"/>
    <n v="154"/>
    <n v="581.28000000000009"/>
    <x v="2"/>
    <x v="1"/>
    <x v="2"/>
    <s v="Efetivo"/>
    <s v="N"/>
    <s v="Gerente"/>
    <s v="IEU8913-HAN"/>
    <n v="129"/>
    <n v="53"/>
    <m/>
    <n v="188"/>
    <m/>
    <m/>
    <s v="213"/>
  </r>
  <r>
    <n v="523"/>
    <n v="269282574"/>
    <x v="522"/>
    <n v="3743"/>
    <x v="0"/>
    <x v="521"/>
    <s v="bernardo.silva"/>
    <x v="32"/>
    <n v="26164321"/>
    <m/>
    <m/>
    <n v="41623"/>
    <m/>
    <s v=""/>
    <n v="172"/>
    <x v="518"/>
    <x v="518"/>
    <n v="644.80000000000007"/>
    <n v="242"/>
    <n v="577.92000000000007"/>
    <x v="4"/>
    <x v="2"/>
    <x v="0"/>
    <s v="Terceiro"/>
    <s v="N"/>
    <s v="RH"/>
    <s v="PTN9089-EEN"/>
    <n v="135"/>
    <n v="34"/>
    <m/>
    <n v="3"/>
    <m/>
    <m/>
    <s v="010"/>
  </r>
  <r>
    <n v="524"/>
    <n v="212352012"/>
    <x v="523"/>
    <n v="3024"/>
    <x v="0"/>
    <x v="522"/>
    <s v="guilherme.barreto"/>
    <x v="504"/>
    <n v="36519938"/>
    <m/>
    <m/>
    <n v="39489"/>
    <m/>
    <s v=""/>
    <n v="151"/>
    <x v="519"/>
    <x v="519"/>
    <n v="389.8"/>
    <n v="264"/>
    <n v="507.36"/>
    <x v="0"/>
    <x v="0"/>
    <x v="0"/>
    <s v="Efetivo"/>
    <s v="S"/>
    <s v="Diretoria"/>
    <s v="AFV7613-DHA"/>
    <n v="94"/>
    <n v="25"/>
    <m/>
    <n v="57"/>
    <m/>
    <m/>
    <s v="010"/>
  </r>
  <r>
    <n v="525"/>
    <n v="302399152"/>
    <x v="524"/>
    <n v="7313"/>
    <x v="0"/>
    <x v="523"/>
    <s v="nathália.araújo"/>
    <x v="505"/>
    <n v="49428437"/>
    <m/>
    <m/>
    <n v="43002"/>
    <m/>
    <s v=""/>
    <n v="244"/>
    <x v="520"/>
    <x v="520"/>
    <n v="675"/>
    <n v="308"/>
    <n v="819.84"/>
    <x v="21"/>
    <x v="4"/>
    <x v="2"/>
    <s v="Efetivo"/>
    <s v="S"/>
    <s v="RH"/>
    <s v="WOA7495-SRZ"/>
    <n v="79"/>
    <n v="1"/>
    <m/>
    <n v="124"/>
    <m/>
    <m/>
    <s v="213"/>
  </r>
  <r>
    <n v="526"/>
    <n v="789006468"/>
    <x v="525"/>
    <n v="3135"/>
    <x v="1"/>
    <x v="524"/>
    <s v="guilherme.regasso"/>
    <x v="506"/>
    <n v="28852133"/>
    <m/>
    <m/>
    <n v="37480"/>
    <m/>
    <s v=""/>
    <n v="215"/>
    <x v="521"/>
    <x v="521"/>
    <n v="738.6"/>
    <n v="220"/>
    <n v="722.4"/>
    <x v="18"/>
    <x v="1"/>
    <x v="0"/>
    <s v="Efetivo"/>
    <s v="N"/>
    <s v="Gerente"/>
    <s v="QOU1028-JKA"/>
    <n v="88"/>
    <n v="9"/>
    <m/>
    <n v="118"/>
    <m/>
    <m/>
    <s v="010"/>
  </r>
  <r>
    <n v="527"/>
    <n v="541170567"/>
    <x v="526"/>
    <n v="3150"/>
    <x v="1"/>
    <x v="525"/>
    <s v="brenno.silva"/>
    <x v="507"/>
    <n v="32209610"/>
    <m/>
    <m/>
    <n v="37121"/>
    <m/>
    <s v=""/>
    <n v="233"/>
    <x v="522"/>
    <x v="522"/>
    <n v="1418.4"/>
    <n v="308"/>
    <n v="782.88"/>
    <x v="4"/>
    <x v="2"/>
    <x v="0"/>
    <s v="Terceiro"/>
    <s v="N"/>
    <s v="RH"/>
    <s v="NJU3438-GDB"/>
    <n v="114"/>
    <n v="39"/>
    <m/>
    <n v="50"/>
    <n v="15"/>
    <m/>
    <s v="010"/>
  </r>
  <r>
    <n v="528"/>
    <n v="489004123"/>
    <x v="527"/>
    <n v="7348"/>
    <x v="1"/>
    <x v="526"/>
    <s v="william.kelly"/>
    <x v="508"/>
    <n v="45930385"/>
    <m/>
    <m/>
    <n v="35077"/>
    <m/>
    <s v=""/>
    <n v="248"/>
    <x v="523"/>
    <x v="523"/>
    <n v="3540.2000000000003"/>
    <n v="198"/>
    <n v="833.28000000000009"/>
    <x v="20"/>
    <x v="3"/>
    <x v="0"/>
    <s v="Terceiro"/>
    <s v="N"/>
    <s v="RH"/>
    <s v="JQL5655-SSB"/>
    <n v="119"/>
    <n v="30"/>
    <m/>
    <n v="62"/>
    <m/>
    <m/>
    <s v="010"/>
  </r>
  <r>
    <n v="529"/>
    <n v="261816261"/>
    <x v="528"/>
    <n v="2708"/>
    <x v="0"/>
    <x v="527"/>
    <s v="daniele.blumberg"/>
    <x v="509"/>
    <n v="35798998"/>
    <m/>
    <m/>
    <n v="42825"/>
    <m/>
    <s v=""/>
    <n v="215"/>
    <x v="524"/>
    <x v="524"/>
    <n v="2425.4"/>
    <n v="154"/>
    <n v="722.4"/>
    <x v="2"/>
    <x v="1"/>
    <x v="2"/>
    <s v="Efetivo"/>
    <s v="N"/>
    <s v="Gerente"/>
    <s v="PDD9944-NQU"/>
    <n v="143"/>
    <n v="52"/>
    <m/>
    <n v="147"/>
    <m/>
    <m/>
    <s v="213"/>
  </r>
  <r>
    <n v="530"/>
    <n v="790071411"/>
    <x v="529"/>
    <n v="5895"/>
    <x v="0"/>
    <x v="528"/>
    <s v="jorge.viríssimo"/>
    <x v="510"/>
    <n v="42849643"/>
    <m/>
    <m/>
    <n v="42031"/>
    <m/>
    <d v="2018-01-05T00:00:00"/>
    <n v="180"/>
    <x v="525"/>
    <x v="525"/>
    <n v="1059.8"/>
    <n v="176"/>
    <n v="604.80000000000007"/>
    <x v="5"/>
    <x v="0"/>
    <x v="3"/>
    <s v="Efetivo"/>
    <s v="S"/>
    <s v="Diretoria"/>
    <s v="CCU1721-FAJ"/>
    <n v="143"/>
    <n v="59"/>
    <m/>
    <n v="172"/>
    <m/>
    <m/>
    <s v="322"/>
  </r>
  <r>
    <n v="531"/>
    <n v="524024983"/>
    <x v="530"/>
    <n v="3172"/>
    <x v="1"/>
    <x v="529"/>
    <s v="gabriel.rodrigues"/>
    <x v="511"/>
    <n v="27192903"/>
    <m/>
    <m/>
    <n v="40640"/>
    <m/>
    <s v=""/>
    <n v="249"/>
    <x v="526"/>
    <x v="526"/>
    <n v="592.6"/>
    <n v="198"/>
    <n v="836.64"/>
    <x v="13"/>
    <x v="0"/>
    <x v="2"/>
    <s v="Efetivo"/>
    <s v="S"/>
    <s v="Diretoria"/>
    <s v="ZJC3223-LGA"/>
    <n v="49"/>
    <n v="10"/>
    <m/>
    <n v="166"/>
    <m/>
    <m/>
    <s v="213"/>
  </r>
  <r>
    <n v="532"/>
    <n v="401461132"/>
    <x v="531"/>
    <n v="4074"/>
    <x v="1"/>
    <x v="530"/>
    <s v="joão.alves"/>
    <x v="512"/>
    <n v="30139757"/>
    <m/>
    <m/>
    <n v="36019"/>
    <m/>
    <d v="2003-06-10T00:00:00"/>
    <n v="176"/>
    <x v="527"/>
    <x v="527"/>
    <n v="4391.6000000000004"/>
    <n v="176"/>
    <n v="591.36"/>
    <x v="11"/>
    <x v="3"/>
    <x v="4"/>
    <s v="Terceiro"/>
    <s v="N"/>
    <s v="RH"/>
    <s v="OOJ5936-QBW"/>
    <n v="117"/>
    <n v="23"/>
    <m/>
    <n v="70"/>
    <m/>
    <m/>
    <s v="011"/>
  </r>
  <r>
    <n v="533"/>
    <n v="320166315"/>
    <x v="532"/>
    <n v="4853"/>
    <x v="0"/>
    <x v="531"/>
    <s v="bernardo.magno"/>
    <x v="513"/>
    <n v="37278455"/>
    <m/>
    <m/>
    <n v="38689"/>
    <m/>
    <s v=""/>
    <n v="155"/>
    <x v="528"/>
    <x v="528"/>
    <n v="2811.6000000000004"/>
    <n v="220"/>
    <n v="520.80000000000007"/>
    <x v="2"/>
    <x v="1"/>
    <x v="2"/>
    <s v="Efetivo"/>
    <s v="N"/>
    <s v="Gerente"/>
    <s v="ITL2023-OIC"/>
    <n v="32"/>
    <n v="41"/>
    <m/>
    <n v="174"/>
    <m/>
    <m/>
    <s v="213"/>
  </r>
  <r>
    <n v="534"/>
    <n v="785803477"/>
    <x v="533"/>
    <n v="6239"/>
    <x v="0"/>
    <x v="532"/>
    <s v="raíza.barcellos"/>
    <x v="514"/>
    <n v="43864344"/>
    <m/>
    <m/>
    <n v="36786"/>
    <m/>
    <s v=""/>
    <n v="150"/>
    <x v="529"/>
    <x v="529"/>
    <n v="786.80000000000007"/>
    <n v="264"/>
    <n v="504"/>
    <x v="15"/>
    <x v="2"/>
    <x v="1"/>
    <s v="Terceiro"/>
    <s v="N"/>
    <s v="RH"/>
    <s v="NWG5077-PBZ"/>
    <n v="146"/>
    <n v="13"/>
    <m/>
    <n v="117"/>
    <m/>
    <m/>
    <s v="545"/>
  </r>
  <r>
    <n v="535"/>
    <n v="195532101"/>
    <x v="534"/>
    <n v="5239"/>
    <x v="0"/>
    <x v="533"/>
    <s v="bernardo.cunha"/>
    <x v="515"/>
    <n v="45499870"/>
    <m/>
    <m/>
    <n v="37330"/>
    <m/>
    <s v=""/>
    <n v="170"/>
    <x v="530"/>
    <x v="530"/>
    <n v="4324.4000000000005"/>
    <n v="286"/>
    <n v="571.19999999999993"/>
    <x v="15"/>
    <x v="2"/>
    <x v="1"/>
    <s v="Terceiro"/>
    <s v="N"/>
    <s v="RH"/>
    <s v="CKP3287-UEK"/>
    <n v="55"/>
    <n v="57"/>
    <m/>
    <n v="88"/>
    <m/>
    <m/>
    <s v="545"/>
  </r>
  <r>
    <n v="536"/>
    <n v="486535229"/>
    <x v="535"/>
    <n v="3572"/>
    <x v="0"/>
    <x v="534"/>
    <s v="julia.silva"/>
    <x v="516"/>
    <n v="21517794"/>
    <m/>
    <m/>
    <n v="41578"/>
    <m/>
    <s v=""/>
    <n v="173"/>
    <x v="531"/>
    <x v="531"/>
    <n v="1510.4"/>
    <n v="154"/>
    <n v="581.28000000000009"/>
    <x v="17"/>
    <x v="2"/>
    <x v="4"/>
    <s v="Terceiro"/>
    <s v="N"/>
    <s v="RH"/>
    <s v="XWA4609-XHL"/>
    <n v="139"/>
    <n v="41"/>
    <m/>
    <n v="44"/>
    <m/>
    <m/>
    <s v="011"/>
  </r>
  <r>
    <n v="537"/>
    <n v="981279157"/>
    <x v="536"/>
    <n v="1376"/>
    <x v="1"/>
    <x v="535"/>
    <s v="arthur.bispo"/>
    <x v="517"/>
    <n v="34689811"/>
    <m/>
    <m/>
    <n v="40740"/>
    <m/>
    <s v=""/>
    <n v="154"/>
    <x v="532"/>
    <x v="532"/>
    <n v="274.40000000000003"/>
    <n v="308"/>
    <n v="517.44000000000005"/>
    <x v="17"/>
    <x v="2"/>
    <x v="4"/>
    <s v="Terceiro"/>
    <s v="N"/>
    <s v="RH"/>
    <s v="SEA1242-VQT"/>
    <n v="60"/>
    <n v="35"/>
    <m/>
    <n v="4"/>
    <m/>
    <m/>
    <s v="011"/>
  </r>
  <r>
    <n v="538"/>
    <n v="464550454"/>
    <x v="537"/>
    <n v="6269"/>
    <x v="1"/>
    <x v="536"/>
    <s v="raianne.brum"/>
    <x v="518"/>
    <n v="31097240"/>
    <m/>
    <m/>
    <n v="41496"/>
    <m/>
    <s v=""/>
    <n v="213"/>
    <x v="533"/>
    <x v="533"/>
    <n v="2358.2000000000003"/>
    <n v="176"/>
    <n v="715.68"/>
    <x v="5"/>
    <x v="0"/>
    <x v="3"/>
    <s v="Efetivo"/>
    <s v="S"/>
    <s v="Diretoria"/>
    <s v="QLF8561-NLL"/>
    <n v="56"/>
    <n v="44"/>
    <m/>
    <n v="114"/>
    <m/>
    <m/>
    <s v="322"/>
  </r>
  <r>
    <n v="539"/>
    <n v="581607230"/>
    <x v="538"/>
    <n v="7334"/>
    <x v="0"/>
    <x v="537"/>
    <s v="renan.silva"/>
    <x v="519"/>
    <n v="46713680"/>
    <m/>
    <m/>
    <n v="37868"/>
    <m/>
    <d v="2006-12-20T00:00:00"/>
    <n v="241"/>
    <x v="534"/>
    <x v="534"/>
    <n v="1786.4"/>
    <n v="220"/>
    <n v="809.76"/>
    <x v="14"/>
    <x v="3"/>
    <x v="3"/>
    <s v="Terceiro"/>
    <s v="N"/>
    <s v="RH"/>
    <s v="CRK2830-LYP"/>
    <n v="114"/>
    <n v="58"/>
    <m/>
    <n v="142"/>
    <m/>
    <m/>
    <s v="322"/>
  </r>
  <r>
    <m/>
    <m/>
    <x v="539"/>
    <m/>
    <x v="2"/>
    <x v="538"/>
    <m/>
    <x v="520"/>
    <m/>
    <m/>
    <m/>
    <m/>
    <m/>
    <m/>
    <m/>
    <x v="535"/>
    <x v="535"/>
    <m/>
    <m/>
    <m/>
    <x v="25"/>
    <x v="5"/>
    <x v="5"/>
    <m/>
    <m/>
    <m/>
    <m/>
    <m/>
    <m/>
    <m/>
    <m/>
    <m/>
    <m/>
    <m/>
  </r>
  <r>
    <m/>
    <m/>
    <x v="539"/>
    <m/>
    <x v="2"/>
    <x v="538"/>
    <m/>
    <x v="520"/>
    <m/>
    <m/>
    <m/>
    <m/>
    <m/>
    <m/>
    <m/>
    <x v="536"/>
    <x v="535"/>
    <m/>
    <m/>
    <m/>
    <x v="25"/>
    <x v="5"/>
    <x v="5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B1996-7EFA-42B0-8184-EE0A254802CE}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C19" firstHeaderRow="0" firstDataRow="1" firstDataCol="1" rowPageCount="1" colPageCount="1"/>
  <pivotFields count="34">
    <pivotField showAll="0"/>
    <pivotField showAll="0"/>
    <pivotField dataField="1" showAll="0">
      <items count="541">
        <item x="401"/>
        <item x="113"/>
        <item x="215"/>
        <item x="450"/>
        <item x="174"/>
        <item x="54"/>
        <item x="203"/>
        <item x="4"/>
        <item x="496"/>
        <item x="251"/>
        <item x="518"/>
        <item x="375"/>
        <item x="169"/>
        <item x="534"/>
        <item x="446"/>
        <item x="384"/>
        <item x="291"/>
        <item x="219"/>
        <item x="266"/>
        <item x="143"/>
        <item x="457"/>
        <item x="276"/>
        <item x="245"/>
        <item x="221"/>
        <item x="230"/>
        <item x="329"/>
        <item x="535"/>
        <item x="172"/>
        <item x="510"/>
        <item x="43"/>
        <item x="398"/>
        <item x="350"/>
        <item x="240"/>
        <item x="483"/>
        <item x="517"/>
        <item x="513"/>
        <item x="382"/>
        <item x="248"/>
        <item x="365"/>
        <item x="79"/>
        <item x="28"/>
        <item x="372"/>
        <item x="144"/>
        <item x="358"/>
        <item x="109"/>
        <item x="100"/>
        <item x="261"/>
        <item x="226"/>
        <item x="242"/>
        <item x="126"/>
        <item x="528"/>
        <item x="19"/>
        <item x="86"/>
        <item x="497"/>
        <item x="421"/>
        <item x="25"/>
        <item x="489"/>
        <item x="6"/>
        <item x="121"/>
        <item x="424"/>
        <item x="141"/>
        <item x="396"/>
        <item x="108"/>
        <item x="254"/>
        <item x="322"/>
        <item x="167"/>
        <item x="296"/>
        <item x="387"/>
        <item x="327"/>
        <item x="443"/>
        <item x="319"/>
        <item x="41"/>
        <item x="399"/>
        <item x="393"/>
        <item x="381"/>
        <item x="124"/>
        <item x="418"/>
        <item x="328"/>
        <item x="537"/>
        <item x="84"/>
        <item x="426"/>
        <item x="293"/>
        <item x="173"/>
        <item x="368"/>
        <item x="63"/>
        <item x="205"/>
        <item x="359"/>
        <item x="224"/>
        <item x="206"/>
        <item x="392"/>
        <item x="298"/>
        <item x="516"/>
        <item x="211"/>
        <item x="272"/>
        <item x="364"/>
        <item x="142"/>
        <item x="346"/>
        <item x="210"/>
        <item x="408"/>
        <item x="88"/>
        <item x="304"/>
        <item x="366"/>
        <item x="463"/>
        <item x="187"/>
        <item x="377"/>
        <item x="155"/>
        <item x="481"/>
        <item x="339"/>
        <item x="216"/>
        <item x="441"/>
        <item x="212"/>
        <item x="197"/>
        <item x="385"/>
        <item x="436"/>
        <item x="271"/>
        <item x="342"/>
        <item x="223"/>
        <item x="318"/>
        <item x="68"/>
        <item x="388"/>
        <item x="201"/>
        <item x="374"/>
        <item x="236"/>
        <item x="177"/>
        <item x="235"/>
        <item x="95"/>
        <item x="255"/>
        <item x="407"/>
        <item x="128"/>
        <item x="363"/>
        <item x="73"/>
        <item x="389"/>
        <item x="139"/>
        <item x="228"/>
        <item x="154"/>
        <item x="250"/>
        <item x="137"/>
        <item x="185"/>
        <item x="432"/>
        <item x="39"/>
        <item x="508"/>
        <item x="413"/>
        <item x="57"/>
        <item x="438"/>
        <item x="431"/>
        <item x="49"/>
        <item x="231"/>
        <item x="275"/>
        <item x="311"/>
        <item x="409"/>
        <item x="199"/>
        <item x="386"/>
        <item x="367"/>
        <item x="127"/>
        <item x="458"/>
        <item x="341"/>
        <item x="448"/>
        <item x="135"/>
        <item x="104"/>
        <item x="263"/>
        <item x="498"/>
        <item x="176"/>
        <item x="35"/>
        <item x="24"/>
        <item x="150"/>
        <item x="282"/>
        <item x="466"/>
        <item x="414"/>
        <item x="411"/>
        <item x="166"/>
        <item x="237"/>
        <item x="475"/>
        <item x="356"/>
        <item x="509"/>
        <item x="277"/>
        <item x="309"/>
        <item x="522"/>
        <item x="195"/>
        <item x="202"/>
        <item x="330"/>
        <item x="65"/>
        <item x="515"/>
        <item x="286"/>
        <item x="487"/>
        <item x="420"/>
        <item x="89"/>
        <item x="485"/>
        <item x="52"/>
        <item x="430"/>
        <item x="119"/>
        <item x="164"/>
        <item x="140"/>
        <item x="181"/>
        <item x="37"/>
        <item x="433"/>
        <item x="347"/>
        <item x="30"/>
        <item x="97"/>
        <item x="38"/>
        <item x="209"/>
        <item x="110"/>
        <item x="87"/>
        <item x="26"/>
        <item x="456"/>
        <item x="75"/>
        <item x="503"/>
        <item x="270"/>
        <item x="297"/>
        <item x="302"/>
        <item x="111"/>
        <item x="289"/>
        <item x="67"/>
        <item x="402"/>
        <item x="422"/>
        <item x="148"/>
        <item x="442"/>
        <item x="252"/>
        <item x="29"/>
        <item x="406"/>
        <item x="59"/>
        <item x="99"/>
        <item x="439"/>
        <item x="288"/>
        <item x="488"/>
        <item x="78"/>
        <item x="188"/>
        <item x="186"/>
        <item x="506"/>
        <item x="147"/>
        <item x="22"/>
        <item x="512"/>
        <item x="444"/>
        <item x="308"/>
        <item x="373"/>
        <item x="352"/>
        <item x="404"/>
        <item x="527"/>
        <item x="480"/>
        <item x="33"/>
        <item x="122"/>
        <item x="378"/>
        <item x="257"/>
        <item x="165"/>
        <item x="354"/>
        <item x="162"/>
        <item x="299"/>
        <item x="464"/>
        <item x="336"/>
        <item x="180"/>
        <item x="80"/>
        <item x="118"/>
        <item x="66"/>
        <item x="454"/>
        <item x="159"/>
        <item x="467"/>
        <item x="1"/>
        <item x="325"/>
        <item x="3"/>
        <item x="453"/>
        <item x="390"/>
        <item x="405"/>
        <item x="83"/>
        <item x="157"/>
        <item x="361"/>
        <item x="53"/>
        <item x="112"/>
        <item x="353"/>
        <item x="427"/>
        <item x="233"/>
        <item x="90"/>
        <item x="40"/>
        <item x="445"/>
        <item x="21"/>
        <item x="71"/>
        <item x="538"/>
        <item x="505"/>
        <item x="314"/>
        <item x="332"/>
        <item x="536"/>
        <item x="468"/>
        <item x="239"/>
        <item x="138"/>
        <item x="56"/>
        <item x="434"/>
        <item x="13"/>
        <item x="412"/>
        <item x="256"/>
        <item x="316"/>
        <item x="455"/>
        <item x="193"/>
        <item x="36"/>
        <item x="348"/>
        <item x="131"/>
        <item x="12"/>
        <item x="472"/>
        <item x="123"/>
        <item x="351"/>
        <item x="459"/>
        <item x="494"/>
        <item x="190"/>
        <item x="69"/>
        <item x="340"/>
        <item x="0"/>
        <item x="72"/>
        <item x="15"/>
        <item x="196"/>
        <item x="117"/>
        <item x="313"/>
        <item x="532"/>
        <item x="326"/>
        <item x="520"/>
        <item x="62"/>
        <item x="2"/>
        <item x="312"/>
        <item x="74"/>
        <item x="300"/>
        <item x="265"/>
        <item x="305"/>
        <item x="156"/>
        <item x="321"/>
        <item x="355"/>
        <item x="320"/>
        <item x="50"/>
        <item x="283"/>
        <item x="153"/>
        <item x="334"/>
        <item x="417"/>
        <item x="183"/>
        <item x="179"/>
        <item x="279"/>
        <item x="514"/>
        <item x="425"/>
        <item x="96"/>
        <item x="16"/>
        <item x="64"/>
        <item x="269"/>
        <item x="523"/>
        <item x="191"/>
        <item x="284"/>
        <item x="315"/>
        <item x="168"/>
        <item x="136"/>
        <item x="419"/>
        <item x="238"/>
        <item x="161"/>
        <item x="152"/>
        <item x="478"/>
        <item x="416"/>
        <item x="77"/>
        <item x="160"/>
        <item x="241"/>
        <item x="462"/>
        <item x="519"/>
        <item x="107"/>
        <item x="115"/>
        <item x="146"/>
        <item x="345"/>
        <item x="410"/>
        <item x="451"/>
        <item x="234"/>
        <item x="429"/>
        <item x="101"/>
        <item x="486"/>
        <item x="317"/>
        <item x="504"/>
        <item x="264"/>
        <item x="465"/>
        <item x="437"/>
        <item x="220"/>
        <item x="42"/>
        <item x="469"/>
        <item x="93"/>
        <item x="273"/>
        <item x="246"/>
        <item x="307"/>
        <item x="391"/>
        <item x="55"/>
        <item x="60"/>
        <item x="470"/>
        <item x="500"/>
        <item x="349"/>
        <item x="280"/>
        <item x="344"/>
        <item x="376"/>
        <item x="262"/>
        <item x="175"/>
        <item x="247"/>
        <item x="337"/>
        <item x="158"/>
        <item x="133"/>
        <item x="449"/>
        <item x="290"/>
        <item x="360"/>
        <item x="8"/>
        <item x="11"/>
        <item x="460"/>
        <item x="502"/>
        <item x="106"/>
        <item x="171"/>
        <item x="163"/>
        <item x="477"/>
        <item x="531"/>
        <item x="397"/>
        <item x="357"/>
        <item x="198"/>
        <item x="7"/>
        <item x="20"/>
        <item x="526"/>
        <item x="243"/>
        <item x="323"/>
        <item x="491"/>
        <item x="91"/>
        <item x="428"/>
        <item x="204"/>
        <item x="435"/>
        <item x="521"/>
        <item x="227"/>
        <item x="182"/>
        <item x="423"/>
        <item x="225"/>
        <item x="116"/>
        <item x="484"/>
        <item x="380"/>
        <item x="189"/>
        <item x="471"/>
        <item x="473"/>
        <item x="415"/>
        <item x="295"/>
        <item x="170"/>
        <item x="383"/>
        <item x="18"/>
        <item x="253"/>
        <item x="292"/>
        <item x="338"/>
        <item x="23"/>
        <item x="258"/>
        <item x="129"/>
        <item x="232"/>
        <item x="218"/>
        <item x="260"/>
        <item x="194"/>
        <item x="395"/>
        <item x="479"/>
        <item x="285"/>
        <item x="32"/>
        <item x="5"/>
        <item x="47"/>
        <item x="440"/>
        <item x="61"/>
        <item x="70"/>
        <item x="482"/>
        <item x="31"/>
        <item x="310"/>
        <item x="81"/>
        <item x="281"/>
        <item x="51"/>
        <item x="94"/>
        <item x="98"/>
        <item x="134"/>
        <item x="125"/>
        <item x="379"/>
        <item x="145"/>
        <item x="362"/>
        <item x="178"/>
        <item x="447"/>
        <item x="82"/>
        <item x="524"/>
        <item x="120"/>
        <item x="114"/>
        <item x="303"/>
        <item x="151"/>
        <item x="34"/>
        <item x="208"/>
        <item x="105"/>
        <item x="306"/>
        <item x="244"/>
        <item x="490"/>
        <item x="499"/>
        <item x="10"/>
        <item x="213"/>
        <item x="259"/>
        <item x="333"/>
        <item x="452"/>
        <item x="184"/>
        <item x="130"/>
        <item x="17"/>
        <item x="507"/>
        <item x="45"/>
        <item x="474"/>
        <item x="267"/>
        <item x="324"/>
        <item x="493"/>
        <item x="525"/>
        <item x="103"/>
        <item x="343"/>
        <item x="192"/>
        <item x="492"/>
        <item x="9"/>
        <item x="214"/>
        <item x="58"/>
        <item x="274"/>
        <item x="529"/>
        <item x="461"/>
        <item x="132"/>
        <item x="335"/>
        <item x="369"/>
        <item x="287"/>
        <item x="27"/>
        <item x="229"/>
        <item x="371"/>
        <item x="85"/>
        <item x="501"/>
        <item x="400"/>
        <item x="530"/>
        <item x="200"/>
        <item x="476"/>
        <item x="76"/>
        <item x="331"/>
        <item x="46"/>
        <item x="495"/>
        <item x="48"/>
        <item x="533"/>
        <item x="294"/>
        <item x="207"/>
        <item x="44"/>
        <item x="403"/>
        <item x="394"/>
        <item x="149"/>
        <item x="222"/>
        <item x="278"/>
        <item x="268"/>
        <item x="301"/>
        <item x="102"/>
        <item x="370"/>
        <item x="217"/>
        <item x="249"/>
        <item x="92"/>
        <item x="14"/>
        <item x="511"/>
        <item x="53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540">
        <item x="459"/>
        <item x="4"/>
        <item x="194"/>
        <item x="101"/>
        <item x="132"/>
        <item x="91"/>
        <item x="166"/>
        <item x="341"/>
        <item x="319"/>
        <item x="87"/>
        <item x="112"/>
        <item x="290"/>
        <item x="94"/>
        <item x="424"/>
        <item x="2"/>
        <item x="216"/>
        <item x="157"/>
        <item x="239"/>
        <item x="434"/>
        <item x="404"/>
        <item x="244"/>
        <item x="208"/>
        <item x="333"/>
        <item x="447"/>
        <item x="353"/>
        <item x="436"/>
        <item x="374"/>
        <item x="236"/>
        <item x="362"/>
        <item x="9"/>
        <item x="468"/>
        <item x="146"/>
        <item x="10"/>
        <item x="23"/>
        <item x="286"/>
        <item x="285"/>
        <item x="150"/>
        <item x="144"/>
        <item x="535"/>
        <item x="270"/>
        <item x="456"/>
        <item x="370"/>
        <item x="315"/>
        <item x="217"/>
        <item x="73"/>
        <item x="5"/>
        <item x="342"/>
        <item x="498"/>
        <item x="369"/>
        <item x="22"/>
        <item x="454"/>
        <item x="288"/>
        <item x="485"/>
        <item x="197"/>
        <item x="287"/>
        <item x="41"/>
        <item x="514"/>
        <item x="191"/>
        <item x="533"/>
        <item x="373"/>
        <item x="306"/>
        <item x="531"/>
        <item x="521"/>
        <item x="395"/>
        <item x="505"/>
        <item x="433"/>
        <item x="97"/>
        <item x="167"/>
        <item x="525"/>
        <item x="474"/>
        <item x="108"/>
        <item x="163"/>
        <item x="257"/>
        <item x="289"/>
        <item x="320"/>
        <item x="509"/>
        <item x="471"/>
        <item x="187"/>
        <item x="89"/>
        <item x="299"/>
        <item x="115"/>
        <item x="232"/>
        <item x="76"/>
        <item x="275"/>
        <item x="511"/>
        <item x="348"/>
        <item x="21"/>
        <item x="409"/>
        <item x="272"/>
        <item x="178"/>
        <item x="14"/>
        <item x="147"/>
        <item x="307"/>
        <item x="323"/>
        <item x="411"/>
        <item x="66"/>
        <item x="391"/>
        <item x="153"/>
        <item x="269"/>
        <item x="416"/>
        <item x="499"/>
        <item x="151"/>
        <item x="145"/>
        <item x="336"/>
        <item x="375"/>
        <item x="34"/>
        <item x="123"/>
        <item x="494"/>
        <item x="228"/>
        <item x="26"/>
        <item x="405"/>
        <item x="237"/>
        <item x="133"/>
        <item x="134"/>
        <item x="254"/>
        <item x="28"/>
        <item x="184"/>
        <item x="225"/>
        <item x="357"/>
        <item x="399"/>
        <item x="346"/>
        <item x="173"/>
        <item x="466"/>
        <item x="390"/>
        <item x="473"/>
        <item x="95"/>
        <item x="110"/>
        <item x="527"/>
        <item x="168"/>
        <item x="309"/>
        <item x="124"/>
        <item x="451"/>
        <item x="437"/>
        <item x="503"/>
        <item x="223"/>
        <item x="63"/>
        <item x="211"/>
        <item x="519"/>
        <item x="260"/>
        <item x="175"/>
        <item x="149"/>
        <item x="349"/>
        <item x="488"/>
        <item x="206"/>
        <item x="192"/>
        <item x="337"/>
        <item x="159"/>
        <item x="295"/>
        <item x="298"/>
        <item x="222"/>
        <item x="435"/>
        <item x="212"/>
        <item x="164"/>
        <item x="383"/>
        <item x="165"/>
        <item x="85"/>
        <item x="243"/>
        <item x="18"/>
        <item x="83"/>
        <item x="407"/>
        <item x="430"/>
        <item x="148"/>
        <item x="67"/>
        <item x="139"/>
        <item x="179"/>
        <item x="59"/>
        <item x="310"/>
        <item x="326"/>
        <item x="291"/>
        <item x="116"/>
        <item x="392"/>
        <item x="518"/>
        <item x="403"/>
        <item x="79"/>
        <item x="77"/>
        <item x="218"/>
        <item x="400"/>
        <item x="141"/>
        <item x="0"/>
        <item x="312"/>
        <item x="52"/>
        <item x="296"/>
        <item x="529"/>
        <item x="402"/>
        <item x="209"/>
        <item x="329"/>
        <item x="29"/>
        <item x="293"/>
        <item x="408"/>
        <item x="219"/>
        <item x="446"/>
        <item x="444"/>
        <item x="7"/>
        <item x="39"/>
        <item x="174"/>
        <item x="419"/>
        <item x="316"/>
        <item x="80"/>
        <item x="42"/>
        <item x="522"/>
        <item x="186"/>
        <item x="445"/>
        <item x="524"/>
        <item x="170"/>
        <item x="3"/>
        <item x="107"/>
        <item x="8"/>
        <item x="118"/>
        <item x="158"/>
        <item x="493"/>
        <item x="284"/>
        <item x="109"/>
        <item x="426"/>
        <item x="422"/>
        <item x="281"/>
        <item x="327"/>
        <item x="313"/>
        <item x="354"/>
        <item x="253"/>
        <item x="442"/>
        <item x="119"/>
        <item x="263"/>
        <item x="17"/>
        <item x="202"/>
        <item x="273"/>
        <item x="297"/>
        <item x="126"/>
        <item x="55"/>
        <item x="152"/>
        <item x="182"/>
        <item x="330"/>
        <item x="397"/>
        <item x="314"/>
        <item x="367"/>
        <item x="51"/>
        <item x="25"/>
        <item x="13"/>
        <item x="245"/>
        <item x="131"/>
        <item x="530"/>
        <item x="478"/>
        <item x="421"/>
        <item x="382"/>
        <item x="96"/>
        <item x="1"/>
        <item x="181"/>
        <item x="292"/>
        <item x="62"/>
        <item x="507"/>
        <item x="328"/>
        <item x="64"/>
        <item x="496"/>
        <item x="453"/>
        <item x="351"/>
        <item x="508"/>
        <item x="528"/>
        <item x="105"/>
        <item x="448"/>
        <item x="268"/>
        <item x="72"/>
        <item x="388"/>
        <item x="439"/>
        <item x="332"/>
        <item x="250"/>
        <item x="265"/>
        <item x="278"/>
        <item x="470"/>
        <item x="432"/>
        <item x="200"/>
        <item x="534"/>
        <item x="303"/>
        <item x="135"/>
        <item x="242"/>
        <item x="361"/>
        <item x="99"/>
        <item x="248"/>
        <item x="324"/>
        <item x="125"/>
        <item x="480"/>
        <item x="78"/>
        <item x="82"/>
        <item x="368"/>
        <item x="68"/>
        <item x="201"/>
        <item x="513"/>
        <item x="189"/>
        <item x="423"/>
        <item x="49"/>
        <item x="70"/>
        <item x="40"/>
        <item x="199"/>
        <item x="169"/>
        <item x="24"/>
        <item x="246"/>
        <item x="441"/>
        <item x="350"/>
        <item x="57"/>
        <item x="32"/>
        <item x="90"/>
        <item x="12"/>
        <item x="414"/>
        <item x="469"/>
        <item x="214"/>
        <item x="143"/>
        <item x="75"/>
        <item x="71"/>
        <item x="389"/>
        <item x="227"/>
        <item x="117"/>
        <item x="127"/>
        <item x="461"/>
        <item x="259"/>
        <item x="359"/>
        <item x="300"/>
        <item x="449"/>
        <item x="464"/>
        <item x="171"/>
        <item x="234"/>
        <item x="27"/>
        <item x="484"/>
        <item x="380"/>
        <item x="467"/>
        <item x="155"/>
        <item x="61"/>
        <item x="279"/>
        <item x="69"/>
        <item x="86"/>
        <item x="283"/>
        <item x="262"/>
        <item x="455"/>
        <item x="465"/>
        <item x="331"/>
        <item x="321"/>
        <item x="497"/>
        <item x="161"/>
        <item x="517"/>
        <item x="205"/>
        <item x="256"/>
        <item x="418"/>
        <item x="401"/>
        <item x="54"/>
        <item x="37"/>
        <item x="379"/>
        <item x="251"/>
        <item x="458"/>
        <item x="36"/>
        <item x="213"/>
        <item x="364"/>
        <item x="443"/>
        <item x="258"/>
        <item x="20"/>
        <item x="137"/>
        <item x="515"/>
        <item x="502"/>
        <item x="355"/>
        <item x="318"/>
        <item x="264"/>
        <item x="44"/>
        <item x="490"/>
        <item x="381"/>
        <item x="413"/>
        <item x="47"/>
        <item x="196"/>
        <item x="344"/>
        <item x="195"/>
        <item x="31"/>
        <item x="93"/>
        <item x="277"/>
        <item x="340"/>
        <item x="363"/>
        <item x="233"/>
        <item x="501"/>
        <item x="311"/>
        <item x="302"/>
        <item x="386"/>
        <item x="371"/>
        <item x="255"/>
        <item x="106"/>
        <item x="393"/>
        <item x="207"/>
        <item x="343"/>
        <item x="43"/>
        <item x="417"/>
        <item x="406"/>
        <item x="50"/>
        <item x="111"/>
        <item x="479"/>
        <item x="60"/>
        <item x="305"/>
        <item x="452"/>
        <item x="481"/>
        <item x="129"/>
        <item x="325"/>
        <item x="113"/>
        <item x="11"/>
        <item x="276"/>
        <item x="231"/>
        <item x="204"/>
        <item x="376"/>
        <item x="523"/>
        <item x="412"/>
        <item x="495"/>
        <item x="230"/>
        <item x="74"/>
        <item x="235"/>
        <item x="274"/>
        <item x="516"/>
        <item x="482"/>
        <item x="138"/>
        <item x="462"/>
        <item x="377"/>
        <item x="221"/>
        <item x="53"/>
        <item x="215"/>
        <item x="183"/>
        <item x="366"/>
        <item x="241"/>
        <item x="440"/>
        <item x="504"/>
        <item x="120"/>
        <item x="317"/>
        <item x="176"/>
        <item x="198"/>
        <item x="128"/>
        <item x="358"/>
        <item x="16"/>
        <item x="220"/>
        <item x="483"/>
        <item x="238"/>
        <item x="19"/>
        <item x="427"/>
        <item x="352"/>
        <item x="489"/>
        <item x="378"/>
        <item x="304"/>
        <item x="252"/>
        <item x="492"/>
        <item x="114"/>
        <item x="65"/>
        <item x="247"/>
        <item x="429"/>
        <item x="486"/>
        <item x="356"/>
        <item x="188"/>
        <item x="280"/>
        <item x="282"/>
        <item x="92"/>
        <item x="457"/>
        <item x="420"/>
        <item x="322"/>
        <item x="45"/>
        <item x="81"/>
        <item x="98"/>
        <item x="428"/>
        <item x="339"/>
        <item x="536"/>
        <item x="56"/>
        <item x="185"/>
        <item x="532"/>
        <item x="477"/>
        <item x="229"/>
        <item x="156"/>
        <item x="335"/>
        <item x="294"/>
        <item x="334"/>
        <item x="537"/>
        <item x="266"/>
        <item x="142"/>
        <item x="396"/>
        <item x="130"/>
        <item x="475"/>
        <item x="301"/>
        <item x="360"/>
        <item x="372"/>
        <item x="104"/>
        <item x="88"/>
        <item x="48"/>
        <item x="102"/>
        <item x="249"/>
        <item x="84"/>
        <item x="46"/>
        <item x="338"/>
        <item x="140"/>
        <item x="450"/>
        <item x="190"/>
        <item x="226"/>
        <item x="267"/>
        <item x="261"/>
        <item x="510"/>
        <item x="394"/>
        <item x="415"/>
        <item x="398"/>
        <item x="487"/>
        <item x="136"/>
        <item x="347"/>
        <item x="240"/>
        <item x="385"/>
        <item x="387"/>
        <item x="224"/>
        <item x="121"/>
        <item x="210"/>
        <item x="345"/>
        <item x="476"/>
        <item x="30"/>
        <item x="154"/>
        <item x="506"/>
        <item x="172"/>
        <item x="491"/>
        <item x="122"/>
        <item x="180"/>
        <item x="203"/>
        <item x="425"/>
        <item x="38"/>
        <item x="193"/>
        <item x="58"/>
        <item x="160"/>
        <item x="520"/>
        <item x="35"/>
        <item x="100"/>
        <item x="15"/>
        <item x="472"/>
        <item x="103"/>
        <item x="460"/>
        <item x="438"/>
        <item x="33"/>
        <item x="384"/>
        <item x="365"/>
        <item x="463"/>
        <item x="177"/>
        <item x="526"/>
        <item x="271"/>
        <item x="512"/>
        <item x="162"/>
        <item x="410"/>
        <item x="308"/>
        <item x="500"/>
        <item x="431"/>
        <item x="6"/>
        <item x="538"/>
        <item t="default"/>
      </items>
    </pivotField>
    <pivotField showAll="0"/>
    <pivotField showAll="0">
      <items count="522">
        <item x="0"/>
        <item x="71"/>
        <item x="213"/>
        <item x="508"/>
        <item x="239"/>
        <item x="348"/>
        <item x="254"/>
        <item x="225"/>
        <item x="99"/>
        <item x="512"/>
        <item x="415"/>
        <item x="519"/>
        <item x="14"/>
        <item x="412"/>
        <item x="117"/>
        <item x="124"/>
        <item x="363"/>
        <item x="98"/>
        <item x="209"/>
        <item x="410"/>
        <item x="163"/>
        <item x="45"/>
        <item x="431"/>
        <item x="129"/>
        <item x="11"/>
        <item x="206"/>
        <item x="328"/>
        <item x="380"/>
        <item x="215"/>
        <item x="125"/>
        <item x="265"/>
        <item x="123"/>
        <item x="16"/>
        <item x="35"/>
        <item x="300"/>
        <item x="465"/>
        <item x="463"/>
        <item x="173"/>
        <item x="155"/>
        <item x="467"/>
        <item x="496"/>
        <item x="228"/>
        <item x="107"/>
        <item x="179"/>
        <item x="272"/>
        <item x="231"/>
        <item x="459"/>
        <item x="350"/>
        <item x="208"/>
        <item x="319"/>
        <item x="207"/>
        <item x="55"/>
        <item x="398"/>
        <item x="368"/>
        <item x="10"/>
        <item x="72"/>
        <item x="346"/>
        <item x="248"/>
        <item x="259"/>
        <item x="273"/>
        <item x="240"/>
        <item x="243"/>
        <item x="374"/>
        <item x="322"/>
        <item x="222"/>
        <item x="383"/>
        <item x="201"/>
        <item x="423"/>
        <item x="351"/>
        <item x="76"/>
        <item x="422"/>
        <item x="174"/>
        <item x="92"/>
        <item x="96"/>
        <item x="68"/>
        <item x="4"/>
        <item x="205"/>
        <item x="167"/>
        <item x="126"/>
        <item x="1"/>
        <item x="488"/>
        <item x="245"/>
        <item x="345"/>
        <item x="427"/>
        <item x="376"/>
        <item x="375"/>
        <item x="455"/>
        <item x="279"/>
        <item x="153"/>
        <item x="241"/>
        <item x="40"/>
        <item x="151"/>
        <item x="295"/>
        <item x="341"/>
        <item x="196"/>
        <item x="30"/>
        <item x="333"/>
        <item x="270"/>
        <item x="162"/>
        <item x="147"/>
        <item x="159"/>
        <item x="392"/>
        <item x="434"/>
        <item x="311"/>
        <item x="200"/>
        <item x="20"/>
        <item x="133"/>
        <item x="138"/>
        <item x="391"/>
        <item x="514"/>
        <item x="65"/>
        <item x="332"/>
        <item x="413"/>
        <item x="276"/>
        <item x="312"/>
        <item x="122"/>
        <item x="221"/>
        <item x="443"/>
        <item x="85"/>
        <item x="192"/>
        <item x="255"/>
        <item x="130"/>
        <item x="182"/>
        <item x="49"/>
        <item x="110"/>
        <item x="490"/>
        <item x="34"/>
        <item x="377"/>
        <item x="271"/>
        <item x="237"/>
        <item x="318"/>
        <item x="344"/>
        <item x="288"/>
        <item x="301"/>
        <item x="12"/>
        <item x="94"/>
        <item x="172"/>
        <item x="356"/>
        <item x="489"/>
        <item x="426"/>
        <item x="506"/>
        <item x="226"/>
        <item x="36"/>
        <item x="238"/>
        <item x="441"/>
        <item x="373"/>
        <item x="505"/>
        <item x="17"/>
        <item x="149"/>
        <item x="28"/>
        <item x="320"/>
        <item x="150"/>
        <item x="429"/>
        <item x="161"/>
        <item x="195"/>
        <item x="456"/>
        <item x="227"/>
        <item x="183"/>
        <item x="137"/>
        <item x="193"/>
        <item x="347"/>
        <item x="253"/>
        <item x="409"/>
        <item x="158"/>
        <item x="156"/>
        <item x="105"/>
        <item x="170"/>
        <item x="446"/>
        <item x="515"/>
        <item x="112"/>
        <item x="327"/>
        <item x="51"/>
        <item x="292"/>
        <item x="214"/>
        <item x="462"/>
        <item x="329"/>
        <item x="291"/>
        <item x="401"/>
        <item x="171"/>
        <item x="191"/>
        <item x="90"/>
        <item x="180"/>
        <item x="52"/>
        <item x="349"/>
        <item x="479"/>
        <item x="83"/>
        <item x="61"/>
        <item x="343"/>
        <item x="64"/>
        <item x="477"/>
        <item x="88"/>
        <item x="263"/>
        <item x="428"/>
        <item x="280"/>
        <item x="287"/>
        <item x="389"/>
        <item x="118"/>
        <item x="481"/>
        <item x="342"/>
        <item x="365"/>
        <item x="80"/>
        <item x="309"/>
        <item x="497"/>
        <item x="353"/>
        <item x="152"/>
        <item x="381"/>
        <item x="31"/>
        <item x="362"/>
        <item x="175"/>
        <item x="274"/>
        <item x="454"/>
        <item x="136"/>
        <item x="420"/>
        <item x="111"/>
        <item x="43"/>
        <item x="86"/>
        <item x="164"/>
        <item x="414"/>
        <item x="283"/>
        <item x="160"/>
        <item x="382"/>
        <item x="148"/>
        <item x="42"/>
        <item x="46"/>
        <item x="331"/>
        <item x="492"/>
        <item x="249"/>
        <item x="194"/>
        <item x="135"/>
        <item x="32"/>
        <item x="250"/>
        <item x="495"/>
        <item x="29"/>
        <item x="256"/>
        <item x="509"/>
        <item x="78"/>
        <item x="102"/>
        <item x="67"/>
        <item x="189"/>
        <item x="69"/>
        <item x="257"/>
        <item x="411"/>
        <item x="468"/>
        <item x="487"/>
        <item x="306"/>
        <item x="119"/>
        <item x="23"/>
        <item x="507"/>
        <item x="493"/>
        <item x="366"/>
        <item x="440"/>
        <item x="469"/>
        <item x="358"/>
        <item x="184"/>
        <item x="433"/>
        <item x="202"/>
        <item x="278"/>
        <item x="511"/>
        <item x="50"/>
        <item x="424"/>
        <item x="264"/>
        <item x="425"/>
        <item x="378"/>
        <item x="406"/>
        <item x="121"/>
        <item x="357"/>
        <item x="199"/>
        <item x="500"/>
        <item x="484"/>
        <item x="56"/>
        <item x="367"/>
        <item x="82"/>
        <item x="474"/>
        <item x="267"/>
        <item x="169"/>
        <item x="73"/>
        <item x="513"/>
        <item x="418"/>
        <item x="79"/>
        <item x="421"/>
        <item x="310"/>
        <item x="24"/>
        <item x="282"/>
        <item x="442"/>
        <item x="397"/>
        <item x="260"/>
        <item x="75"/>
        <item x="247"/>
        <item x="275"/>
        <item x="304"/>
        <item x="132"/>
        <item x="13"/>
        <item x="143"/>
        <item x="101"/>
        <item x="168"/>
        <item x="323"/>
        <item x="66"/>
        <item x="464"/>
        <item x="352"/>
        <item x="334"/>
        <item x="277"/>
        <item x="286"/>
        <item x="298"/>
        <item x="157"/>
        <item x="266"/>
        <item x="269"/>
        <item x="289"/>
        <item x="217"/>
        <item x="308"/>
        <item x="251"/>
        <item x="41"/>
        <item x="218"/>
        <item x="21"/>
        <item x="385"/>
        <item x="39"/>
        <item x="258"/>
        <item x="390"/>
        <item x="232"/>
        <item x="131"/>
        <item x="486"/>
        <item x="430"/>
        <item x="337"/>
        <item x="294"/>
        <item x="81"/>
        <item x="38"/>
        <item x="203"/>
        <item x="116"/>
        <item x="224"/>
        <item x="458"/>
        <item x="302"/>
        <item x="335"/>
        <item x="379"/>
        <item x="416"/>
        <item x="176"/>
        <item x="354"/>
        <item x="62"/>
        <item x="84"/>
        <item x="233"/>
        <item x="518"/>
        <item x="336"/>
        <item x="262"/>
        <item x="448"/>
        <item x="63"/>
        <item x="261"/>
        <item x="450"/>
        <item x="466"/>
        <item x="15"/>
        <item x="70"/>
        <item x="212"/>
        <item x="369"/>
        <item x="7"/>
        <item x="9"/>
        <item x="89"/>
        <item x="313"/>
        <item x="216"/>
        <item x="97"/>
        <item x="461"/>
        <item x="393"/>
        <item x="435"/>
        <item x="2"/>
        <item x="476"/>
        <item x="504"/>
        <item x="503"/>
        <item x="146"/>
        <item x="8"/>
        <item x="48"/>
        <item x="127"/>
        <item x="113"/>
        <item x="372"/>
        <item x="457"/>
        <item x="145"/>
        <item x="439"/>
        <item x="210"/>
        <item x="120"/>
        <item x="235"/>
        <item x="144"/>
        <item x="25"/>
        <item x="384"/>
        <item x="109"/>
        <item x="26"/>
        <item x="417"/>
        <item x="494"/>
        <item x="234"/>
        <item x="303"/>
        <item x="485"/>
        <item x="54"/>
        <item x="27"/>
        <item x="140"/>
        <item x="460"/>
        <item x="188"/>
        <item x="324"/>
        <item x="473"/>
        <item x="445"/>
        <item x="452"/>
        <item x="103"/>
        <item x="268"/>
        <item x="453"/>
        <item x="403"/>
        <item x="305"/>
        <item x="316"/>
        <item x="399"/>
        <item x="400"/>
        <item x="482"/>
        <item x="290"/>
        <item x="451"/>
        <item x="516"/>
        <item x="106"/>
        <item x="285"/>
        <item x="436"/>
        <item x="60"/>
        <item x="386"/>
        <item x="483"/>
        <item x="246"/>
        <item x="19"/>
        <item x="321"/>
        <item x="185"/>
        <item x="370"/>
        <item x="471"/>
        <item x="44"/>
        <item x="432"/>
        <item x="3"/>
        <item x="517"/>
        <item x="187"/>
        <item x="100"/>
        <item x="230"/>
        <item x="408"/>
        <item x="53"/>
        <item x="405"/>
        <item x="297"/>
        <item x="57"/>
        <item x="59"/>
        <item x="139"/>
        <item x="181"/>
        <item x="402"/>
        <item x="449"/>
        <item x="284"/>
        <item x="502"/>
        <item x="115"/>
        <item x="478"/>
        <item x="197"/>
        <item x="395"/>
        <item x="475"/>
        <item x="371"/>
        <item x="128"/>
        <item x="388"/>
        <item x="37"/>
        <item x="178"/>
        <item x="307"/>
        <item x="211"/>
        <item x="364"/>
        <item x="33"/>
        <item x="444"/>
        <item x="223"/>
        <item x="314"/>
        <item x="220"/>
        <item x="229"/>
        <item x="404"/>
        <item x="165"/>
        <item x="394"/>
        <item x="499"/>
        <item x="141"/>
        <item x="58"/>
        <item x="77"/>
        <item x="437"/>
        <item x="134"/>
        <item x="338"/>
        <item x="498"/>
        <item x="480"/>
        <item x="419"/>
        <item x="186"/>
        <item x="501"/>
        <item x="470"/>
        <item x="355"/>
        <item x="510"/>
        <item x="299"/>
        <item x="359"/>
        <item x="142"/>
        <item x="190"/>
        <item x="95"/>
        <item x="74"/>
        <item x="242"/>
        <item x="361"/>
        <item x="18"/>
        <item x="438"/>
        <item x="22"/>
        <item x="47"/>
        <item x="339"/>
        <item x="447"/>
        <item x="104"/>
        <item x="387"/>
        <item x="204"/>
        <item x="252"/>
        <item x="177"/>
        <item x="198"/>
        <item x="296"/>
        <item x="325"/>
        <item x="281"/>
        <item x="219"/>
        <item x="108"/>
        <item x="91"/>
        <item x="114"/>
        <item x="244"/>
        <item x="326"/>
        <item x="340"/>
        <item x="330"/>
        <item x="360"/>
        <item x="315"/>
        <item x="396"/>
        <item x="472"/>
        <item x="5"/>
        <item x="407"/>
        <item x="491"/>
        <item x="93"/>
        <item x="6"/>
        <item x="293"/>
        <item x="87"/>
        <item x="154"/>
        <item x="166"/>
        <item x="236"/>
        <item x="317"/>
        <item x="5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38">
        <item x="243"/>
        <item x="464"/>
        <item x="364"/>
        <item x="324"/>
        <item x="478"/>
        <item x="337"/>
        <item x="360"/>
        <item x="187"/>
        <item x="532"/>
        <item x="507"/>
        <item x="265"/>
        <item x="459"/>
        <item x="306"/>
        <item x="221"/>
        <item x="347"/>
        <item x="408"/>
        <item x="374"/>
        <item x="461"/>
        <item x="26"/>
        <item x="52"/>
        <item x="283"/>
        <item x="519"/>
        <item x="99"/>
        <item x="329"/>
        <item x="341"/>
        <item x="250"/>
        <item x="13"/>
        <item x="90"/>
        <item x="484"/>
        <item x="268"/>
        <item x="180"/>
        <item x="287"/>
        <item x="225"/>
        <item x="101"/>
        <item x="15"/>
        <item x="291"/>
        <item x="362"/>
        <item x="72"/>
        <item x="369"/>
        <item x="448"/>
        <item x="471"/>
        <item x="294"/>
        <item x="253"/>
        <item x="121"/>
        <item x="279"/>
        <item x="95"/>
        <item x="526"/>
        <item x="452"/>
        <item x="416"/>
        <item x="368"/>
        <item x="11"/>
        <item x="276"/>
        <item x="442"/>
        <item x="518"/>
        <item x="238"/>
        <item x="42"/>
        <item x="44"/>
        <item x="520"/>
        <item x="69"/>
        <item x="36"/>
        <item x="217"/>
        <item x="205"/>
        <item x="305"/>
        <item x="509"/>
        <item x="166"/>
        <item x="7"/>
        <item x="262"/>
        <item x="361"/>
        <item x="521"/>
        <item x="354"/>
        <item x="54"/>
        <item x="343"/>
        <item x="529"/>
        <item x="47"/>
        <item x="244"/>
        <item x="273"/>
        <item x="125"/>
        <item x="318"/>
        <item x="143"/>
        <item x="506"/>
        <item x="429"/>
        <item x="87"/>
        <item x="246"/>
        <item x="165"/>
        <item x="326"/>
        <item x="210"/>
        <item x="292"/>
        <item x="245"/>
        <item x="338"/>
        <item x="514"/>
        <item x="260"/>
        <item x="475"/>
        <item x="105"/>
        <item x="413"/>
        <item x="213"/>
        <item x="298"/>
        <item x="68"/>
        <item x="18"/>
        <item x="335"/>
        <item x="92"/>
        <item x="488"/>
        <item x="97"/>
        <item x="227"/>
        <item x="148"/>
        <item x="4"/>
        <item x="395"/>
        <item x="357"/>
        <item x="525"/>
        <item x="258"/>
        <item x="490"/>
        <item x="1"/>
        <item x="248"/>
        <item x="154"/>
        <item x="263"/>
        <item x="342"/>
        <item x="389"/>
        <item x="109"/>
        <item x="312"/>
        <item x="301"/>
        <item x="412"/>
        <item x="259"/>
        <item x="102"/>
        <item x="129"/>
        <item x="194"/>
        <item x="242"/>
        <item x="386"/>
        <item x="457"/>
        <item x="402"/>
        <item x="379"/>
        <item x="146"/>
        <item x="394"/>
        <item x="405"/>
        <item x="330"/>
        <item x="404"/>
        <item x="508"/>
        <item x="424"/>
        <item x="513"/>
        <item x="81"/>
        <item x="181"/>
        <item x="82"/>
        <item x="491"/>
        <item x="175"/>
        <item x="482"/>
        <item x="237"/>
        <item x="200"/>
        <item x="131"/>
        <item x="469"/>
        <item x="57"/>
        <item x="443"/>
        <item x="522"/>
        <item x="39"/>
        <item x="441"/>
        <item x="466"/>
        <item x="499"/>
        <item x="139"/>
        <item x="423"/>
        <item x="130"/>
        <item x="390"/>
        <item x="286"/>
        <item x="46"/>
        <item x="208"/>
        <item x="531"/>
        <item x="27"/>
        <item x="176"/>
        <item x="487"/>
        <item x="315"/>
        <item x="264"/>
        <item x="350"/>
        <item x="79"/>
        <item x="179"/>
        <item x="463"/>
        <item x="504"/>
        <item x="196"/>
        <item x="470"/>
        <item x="409"/>
        <item x="367"/>
        <item x="411"/>
        <item x="155"/>
        <item x="17"/>
        <item x="302"/>
        <item x="285"/>
        <item x="160"/>
        <item x="58"/>
        <item x="438"/>
        <item x="234"/>
        <item x="73"/>
        <item x="476"/>
        <item x="144"/>
        <item x="534"/>
        <item x="303"/>
        <item x="167"/>
        <item x="311"/>
        <item x="85"/>
        <item x="304"/>
        <item x="83"/>
        <item x="110"/>
        <item x="22"/>
        <item x="349"/>
        <item x="296"/>
        <item x="473"/>
        <item x="30"/>
        <item x="314"/>
        <item x="220"/>
        <item x="74"/>
        <item x="267"/>
        <item x="120"/>
        <item x="282"/>
        <item x="183"/>
        <item x="10"/>
        <item x="153"/>
        <item x="414"/>
        <item x="397"/>
        <item x="34"/>
        <item x="511"/>
        <item x="295"/>
        <item x="317"/>
        <item x="440"/>
        <item x="310"/>
        <item x="515"/>
        <item x="184"/>
        <item x="467"/>
        <item x="173"/>
        <item x="274"/>
        <item x="323"/>
        <item x="247"/>
        <item x="21"/>
        <item x="124"/>
        <item x="142"/>
        <item x="189"/>
        <item x="510"/>
        <item x="344"/>
        <item x="135"/>
        <item x="191"/>
        <item x="433"/>
        <item x="297"/>
        <item x="485"/>
        <item x="451"/>
        <item x="28"/>
        <item x="161"/>
        <item x="239"/>
        <item x="215"/>
        <item x="232"/>
        <item x="418"/>
        <item x="516"/>
        <item x="132"/>
        <item x="177"/>
        <item x="388"/>
        <item x="64"/>
        <item x="290"/>
        <item x="86"/>
        <item x="434"/>
        <item x="119"/>
        <item x="158"/>
        <item x="533"/>
        <item x="468"/>
        <item x="71"/>
        <item x="192"/>
        <item x="62"/>
        <item x="346"/>
        <item x="66"/>
        <item x="89"/>
        <item x="29"/>
        <item x="524"/>
        <item x="420"/>
        <item x="80"/>
        <item x="49"/>
        <item x="19"/>
        <item x="380"/>
        <item x="168"/>
        <item x="123"/>
        <item x="252"/>
        <item x="174"/>
        <item x="477"/>
        <item x="309"/>
        <item x="535"/>
        <item x="198"/>
        <item x="275"/>
        <item x="178"/>
        <item x="50"/>
        <item x="272"/>
        <item x="94"/>
        <item x="365"/>
        <item x="222"/>
        <item x="60"/>
        <item x="300"/>
        <item x="23"/>
        <item x="207"/>
        <item x="432"/>
        <item x="256"/>
        <item x="495"/>
        <item x="372"/>
        <item x="134"/>
        <item x="118"/>
        <item x="271"/>
        <item x="33"/>
        <item x="502"/>
        <item x="169"/>
        <item x="162"/>
        <item x="483"/>
        <item x="417"/>
        <item x="137"/>
        <item x="406"/>
        <item x="528"/>
        <item x="392"/>
        <item x="419"/>
        <item x="106"/>
        <item x="455"/>
        <item x="206"/>
        <item x="190"/>
        <item x="38"/>
        <item x="320"/>
        <item x="255"/>
        <item x="186"/>
        <item x="439"/>
        <item x="126"/>
        <item x="150"/>
        <item x="195"/>
        <item x="355"/>
        <item x="445"/>
        <item x="358"/>
        <item x="108"/>
        <item x="218"/>
        <item x="446"/>
        <item x="447"/>
        <item x="458"/>
        <item x="214"/>
        <item x="481"/>
        <item x="164"/>
        <item x="91"/>
        <item x="387"/>
        <item x="138"/>
        <item x="240"/>
        <item x="185"/>
        <item x="229"/>
        <item x="333"/>
        <item x="348"/>
        <item x="415"/>
        <item x="16"/>
        <item x="328"/>
        <item x="435"/>
        <item x="353"/>
        <item x="479"/>
        <item x="505"/>
        <item x="149"/>
        <item x="340"/>
        <item x="70"/>
        <item x="2"/>
        <item x="254"/>
        <item x="370"/>
        <item x="352"/>
        <item x="163"/>
        <item x="41"/>
        <item x="472"/>
        <item x="486"/>
        <item x="450"/>
        <item x="25"/>
        <item x="216"/>
        <item x="40"/>
        <item x="63"/>
        <item x="437"/>
        <item x="431"/>
        <item x="489"/>
        <item x="391"/>
        <item x="277"/>
        <item x="157"/>
        <item x="230"/>
        <item x="382"/>
        <item x="384"/>
        <item x="193"/>
        <item x="493"/>
        <item x="456"/>
        <item x="78"/>
        <item x="498"/>
        <item x="371"/>
        <item x="122"/>
        <item x="111"/>
        <item x="136"/>
        <item x="332"/>
        <item x="37"/>
        <item x="269"/>
        <item x="209"/>
        <item x="251"/>
        <item x="366"/>
        <item x="307"/>
        <item x="523"/>
        <item x="116"/>
        <item x="197"/>
        <item x="235"/>
        <item x="6"/>
        <item x="43"/>
        <item x="67"/>
        <item x="172"/>
        <item x="512"/>
        <item x="266"/>
        <item x="480"/>
        <item x="393"/>
        <item x="444"/>
        <item x="289"/>
        <item x="88"/>
        <item x="98"/>
        <item x="313"/>
        <item x="204"/>
        <item x="20"/>
        <item x="77"/>
        <item x="114"/>
        <item x="399"/>
        <item x="503"/>
        <item x="280"/>
        <item x="55"/>
        <item x="454"/>
        <item x="376"/>
        <item x="59"/>
        <item x="400"/>
        <item x="327"/>
        <item x="65"/>
        <item x="35"/>
        <item x="356"/>
        <item x="211"/>
        <item x="321"/>
        <item x="496"/>
        <item x="75"/>
        <item x="241"/>
        <item x="500"/>
        <item x="61"/>
        <item x="270"/>
        <item x="45"/>
        <item x="76"/>
        <item x="257"/>
        <item x="113"/>
        <item x="278"/>
        <item x="212"/>
        <item x="32"/>
        <item x="430"/>
        <item x="494"/>
        <item x="84"/>
        <item x="233"/>
        <item x="373"/>
        <item x="436"/>
        <item x="117"/>
        <item x="202"/>
        <item x="401"/>
        <item x="224"/>
        <item x="425"/>
        <item x="410"/>
        <item x="460"/>
        <item x="236"/>
        <item x="359"/>
        <item x="319"/>
        <item x="383"/>
        <item x="449"/>
        <item x="381"/>
        <item x="51"/>
        <item x="422"/>
        <item x="299"/>
        <item x="115"/>
        <item x="293"/>
        <item x="288"/>
        <item x="363"/>
        <item x="3"/>
        <item x="104"/>
        <item x="145"/>
        <item x="331"/>
        <item x="128"/>
        <item x="426"/>
        <item x="530"/>
        <item x="427"/>
        <item x="100"/>
        <item x="103"/>
        <item x="322"/>
        <item x="188"/>
        <item x="474"/>
        <item x="201"/>
        <item x="453"/>
        <item x="0"/>
        <item x="351"/>
        <item x="527"/>
        <item x="219"/>
        <item x="156"/>
        <item x="465"/>
        <item x="170"/>
        <item x="261"/>
        <item x="385"/>
        <item x="231"/>
        <item x="403"/>
        <item x="96"/>
        <item x="336"/>
        <item x="226"/>
        <item x="501"/>
        <item x="14"/>
        <item x="112"/>
        <item x="12"/>
        <item x="462"/>
        <item x="281"/>
        <item x="182"/>
        <item x="171"/>
        <item x="316"/>
        <item x="228"/>
        <item x="492"/>
        <item x="378"/>
        <item x="107"/>
        <item x="53"/>
        <item x="8"/>
        <item x="421"/>
        <item x="24"/>
        <item x="428"/>
        <item x="5"/>
        <item x="308"/>
        <item x="345"/>
        <item x="407"/>
        <item x="93"/>
        <item x="223"/>
        <item x="159"/>
        <item x="249"/>
        <item x="127"/>
        <item x="497"/>
        <item x="325"/>
        <item x="140"/>
        <item x="31"/>
        <item x="377"/>
        <item x="284"/>
        <item x="203"/>
        <item x="396"/>
        <item x="56"/>
        <item x="48"/>
        <item x="334"/>
        <item x="517"/>
        <item x="147"/>
        <item x="398"/>
        <item x="141"/>
        <item x="339"/>
        <item x="152"/>
        <item x="133"/>
        <item x="375"/>
        <item x="151"/>
        <item x="9"/>
        <item x="199"/>
        <item x="536"/>
        <item t="default"/>
      </items>
    </pivotField>
    <pivotField showAll="0">
      <items count="537">
        <item x="243"/>
        <item x="464"/>
        <item x="364"/>
        <item x="324"/>
        <item x="478"/>
        <item x="337"/>
        <item x="360"/>
        <item x="187"/>
        <item x="532"/>
        <item x="507"/>
        <item x="265"/>
        <item x="459"/>
        <item x="306"/>
        <item x="221"/>
        <item x="347"/>
        <item x="408"/>
        <item x="374"/>
        <item x="461"/>
        <item x="26"/>
        <item x="52"/>
        <item x="283"/>
        <item x="519"/>
        <item x="99"/>
        <item x="329"/>
        <item x="341"/>
        <item x="250"/>
        <item x="13"/>
        <item x="90"/>
        <item x="484"/>
        <item x="268"/>
        <item x="180"/>
        <item x="287"/>
        <item x="225"/>
        <item x="101"/>
        <item x="15"/>
        <item x="291"/>
        <item x="362"/>
        <item x="72"/>
        <item x="369"/>
        <item x="448"/>
        <item x="471"/>
        <item x="294"/>
        <item x="253"/>
        <item x="121"/>
        <item x="279"/>
        <item x="95"/>
        <item x="526"/>
        <item x="452"/>
        <item x="416"/>
        <item x="368"/>
        <item x="11"/>
        <item x="276"/>
        <item x="442"/>
        <item x="518"/>
        <item x="238"/>
        <item x="42"/>
        <item x="44"/>
        <item x="520"/>
        <item x="69"/>
        <item x="36"/>
        <item x="217"/>
        <item x="205"/>
        <item x="305"/>
        <item x="509"/>
        <item x="166"/>
        <item x="7"/>
        <item x="262"/>
        <item x="361"/>
        <item x="521"/>
        <item x="354"/>
        <item x="54"/>
        <item x="343"/>
        <item x="529"/>
        <item x="47"/>
        <item x="244"/>
        <item x="273"/>
        <item x="125"/>
        <item x="318"/>
        <item x="143"/>
        <item x="506"/>
        <item x="429"/>
        <item x="87"/>
        <item x="246"/>
        <item x="165"/>
        <item x="326"/>
        <item x="210"/>
        <item x="292"/>
        <item x="245"/>
        <item x="338"/>
        <item x="514"/>
        <item x="260"/>
        <item x="475"/>
        <item x="105"/>
        <item x="413"/>
        <item x="213"/>
        <item x="298"/>
        <item x="68"/>
        <item x="18"/>
        <item x="335"/>
        <item x="92"/>
        <item x="488"/>
        <item x="97"/>
        <item x="227"/>
        <item x="148"/>
        <item x="4"/>
        <item x="395"/>
        <item x="357"/>
        <item x="525"/>
        <item x="258"/>
        <item x="490"/>
        <item x="1"/>
        <item x="248"/>
        <item x="154"/>
        <item x="263"/>
        <item x="342"/>
        <item x="389"/>
        <item x="109"/>
        <item x="312"/>
        <item x="301"/>
        <item x="412"/>
        <item x="259"/>
        <item x="102"/>
        <item x="129"/>
        <item x="194"/>
        <item x="242"/>
        <item x="386"/>
        <item x="457"/>
        <item x="402"/>
        <item x="379"/>
        <item x="146"/>
        <item x="394"/>
        <item x="405"/>
        <item x="330"/>
        <item x="404"/>
        <item x="508"/>
        <item x="424"/>
        <item x="513"/>
        <item x="81"/>
        <item x="181"/>
        <item x="82"/>
        <item x="491"/>
        <item x="175"/>
        <item x="482"/>
        <item x="237"/>
        <item x="200"/>
        <item x="131"/>
        <item x="469"/>
        <item x="57"/>
        <item x="443"/>
        <item x="522"/>
        <item x="39"/>
        <item x="441"/>
        <item x="466"/>
        <item x="499"/>
        <item x="139"/>
        <item x="423"/>
        <item x="130"/>
        <item x="390"/>
        <item x="286"/>
        <item x="46"/>
        <item x="208"/>
        <item x="531"/>
        <item x="27"/>
        <item x="176"/>
        <item x="487"/>
        <item x="315"/>
        <item x="264"/>
        <item x="350"/>
        <item x="79"/>
        <item x="179"/>
        <item x="463"/>
        <item x="504"/>
        <item x="196"/>
        <item x="470"/>
        <item x="409"/>
        <item x="367"/>
        <item x="411"/>
        <item x="155"/>
        <item x="17"/>
        <item x="302"/>
        <item x="285"/>
        <item x="160"/>
        <item x="58"/>
        <item x="438"/>
        <item x="234"/>
        <item x="73"/>
        <item x="476"/>
        <item x="144"/>
        <item x="534"/>
        <item x="303"/>
        <item x="167"/>
        <item x="311"/>
        <item x="85"/>
        <item x="304"/>
        <item x="83"/>
        <item x="110"/>
        <item x="22"/>
        <item x="349"/>
        <item x="296"/>
        <item x="473"/>
        <item x="30"/>
        <item x="314"/>
        <item x="220"/>
        <item x="74"/>
        <item x="267"/>
        <item x="120"/>
        <item x="282"/>
        <item x="183"/>
        <item x="10"/>
        <item x="153"/>
        <item x="414"/>
        <item x="397"/>
        <item x="34"/>
        <item x="511"/>
        <item x="295"/>
        <item x="317"/>
        <item x="440"/>
        <item x="310"/>
        <item x="515"/>
        <item x="184"/>
        <item x="467"/>
        <item x="173"/>
        <item x="274"/>
        <item x="323"/>
        <item x="247"/>
        <item x="21"/>
        <item x="124"/>
        <item x="142"/>
        <item x="189"/>
        <item x="510"/>
        <item x="344"/>
        <item x="135"/>
        <item x="191"/>
        <item x="433"/>
        <item x="297"/>
        <item x="485"/>
        <item x="451"/>
        <item x="28"/>
        <item x="161"/>
        <item x="239"/>
        <item x="215"/>
        <item x="232"/>
        <item x="418"/>
        <item x="516"/>
        <item x="132"/>
        <item x="177"/>
        <item x="388"/>
        <item x="64"/>
        <item x="290"/>
        <item x="86"/>
        <item x="434"/>
        <item x="119"/>
        <item x="158"/>
        <item x="533"/>
        <item x="468"/>
        <item x="71"/>
        <item x="192"/>
        <item x="62"/>
        <item x="346"/>
        <item x="66"/>
        <item x="89"/>
        <item x="29"/>
        <item x="524"/>
        <item x="420"/>
        <item x="80"/>
        <item x="49"/>
        <item x="19"/>
        <item x="380"/>
        <item x="168"/>
        <item x="123"/>
        <item x="252"/>
        <item x="174"/>
        <item x="477"/>
        <item x="309"/>
        <item x="198"/>
        <item x="275"/>
        <item x="178"/>
        <item x="50"/>
        <item x="272"/>
        <item x="94"/>
        <item x="365"/>
        <item x="222"/>
        <item x="60"/>
        <item x="300"/>
        <item x="23"/>
        <item x="207"/>
        <item x="432"/>
        <item x="256"/>
        <item x="495"/>
        <item x="372"/>
        <item x="134"/>
        <item x="118"/>
        <item x="271"/>
        <item x="33"/>
        <item x="502"/>
        <item x="169"/>
        <item x="162"/>
        <item x="483"/>
        <item x="417"/>
        <item x="137"/>
        <item x="406"/>
        <item x="528"/>
        <item x="392"/>
        <item x="419"/>
        <item x="106"/>
        <item x="455"/>
        <item x="206"/>
        <item x="190"/>
        <item x="38"/>
        <item x="320"/>
        <item x="255"/>
        <item x="186"/>
        <item x="439"/>
        <item x="126"/>
        <item x="150"/>
        <item x="195"/>
        <item x="355"/>
        <item x="445"/>
        <item x="358"/>
        <item x="108"/>
        <item x="218"/>
        <item x="446"/>
        <item x="447"/>
        <item x="458"/>
        <item x="214"/>
        <item x="481"/>
        <item x="164"/>
        <item x="91"/>
        <item x="387"/>
        <item x="138"/>
        <item x="240"/>
        <item x="185"/>
        <item x="229"/>
        <item x="333"/>
        <item x="348"/>
        <item x="415"/>
        <item x="16"/>
        <item x="328"/>
        <item x="435"/>
        <item x="353"/>
        <item x="479"/>
        <item x="505"/>
        <item x="149"/>
        <item x="340"/>
        <item x="70"/>
        <item x="2"/>
        <item x="254"/>
        <item x="370"/>
        <item x="352"/>
        <item x="163"/>
        <item x="41"/>
        <item x="472"/>
        <item x="486"/>
        <item x="450"/>
        <item x="25"/>
        <item x="216"/>
        <item x="40"/>
        <item x="63"/>
        <item x="437"/>
        <item x="431"/>
        <item x="489"/>
        <item x="391"/>
        <item x="277"/>
        <item x="157"/>
        <item x="230"/>
        <item x="382"/>
        <item x="384"/>
        <item x="193"/>
        <item x="493"/>
        <item x="456"/>
        <item x="78"/>
        <item x="498"/>
        <item x="371"/>
        <item x="122"/>
        <item x="111"/>
        <item x="136"/>
        <item x="332"/>
        <item x="37"/>
        <item x="269"/>
        <item x="209"/>
        <item x="251"/>
        <item x="366"/>
        <item x="307"/>
        <item x="523"/>
        <item x="116"/>
        <item x="197"/>
        <item x="235"/>
        <item x="6"/>
        <item x="43"/>
        <item x="67"/>
        <item x="172"/>
        <item x="512"/>
        <item x="266"/>
        <item x="480"/>
        <item x="393"/>
        <item x="444"/>
        <item x="289"/>
        <item x="88"/>
        <item x="98"/>
        <item x="313"/>
        <item x="204"/>
        <item x="20"/>
        <item x="77"/>
        <item x="114"/>
        <item x="399"/>
        <item x="503"/>
        <item x="280"/>
        <item x="55"/>
        <item x="454"/>
        <item x="376"/>
        <item x="59"/>
        <item x="400"/>
        <item x="327"/>
        <item x="65"/>
        <item x="35"/>
        <item x="356"/>
        <item x="211"/>
        <item x="321"/>
        <item x="496"/>
        <item x="75"/>
        <item x="241"/>
        <item x="500"/>
        <item x="61"/>
        <item x="270"/>
        <item x="45"/>
        <item x="76"/>
        <item x="257"/>
        <item x="113"/>
        <item x="278"/>
        <item x="212"/>
        <item x="32"/>
        <item x="430"/>
        <item x="494"/>
        <item x="84"/>
        <item x="233"/>
        <item x="373"/>
        <item x="436"/>
        <item x="117"/>
        <item x="202"/>
        <item x="401"/>
        <item x="224"/>
        <item x="425"/>
        <item x="410"/>
        <item x="460"/>
        <item x="236"/>
        <item x="359"/>
        <item x="319"/>
        <item x="383"/>
        <item x="449"/>
        <item x="381"/>
        <item x="51"/>
        <item x="422"/>
        <item x="299"/>
        <item x="115"/>
        <item x="293"/>
        <item x="288"/>
        <item x="363"/>
        <item x="3"/>
        <item x="104"/>
        <item x="145"/>
        <item x="331"/>
        <item x="128"/>
        <item x="426"/>
        <item x="530"/>
        <item x="427"/>
        <item x="100"/>
        <item x="103"/>
        <item x="322"/>
        <item x="188"/>
        <item x="474"/>
        <item x="201"/>
        <item x="453"/>
        <item x="0"/>
        <item x="351"/>
        <item x="527"/>
        <item x="219"/>
        <item x="156"/>
        <item x="465"/>
        <item x="170"/>
        <item x="261"/>
        <item x="385"/>
        <item x="231"/>
        <item x="403"/>
        <item x="96"/>
        <item x="336"/>
        <item x="226"/>
        <item x="501"/>
        <item x="14"/>
        <item x="112"/>
        <item x="12"/>
        <item x="462"/>
        <item x="281"/>
        <item x="182"/>
        <item x="171"/>
        <item x="316"/>
        <item x="228"/>
        <item x="492"/>
        <item x="378"/>
        <item x="107"/>
        <item x="53"/>
        <item x="8"/>
        <item x="421"/>
        <item x="24"/>
        <item x="428"/>
        <item x="5"/>
        <item x="308"/>
        <item x="345"/>
        <item x="407"/>
        <item x="93"/>
        <item x="223"/>
        <item x="159"/>
        <item x="249"/>
        <item x="127"/>
        <item x="497"/>
        <item x="325"/>
        <item x="140"/>
        <item x="31"/>
        <item x="377"/>
        <item x="284"/>
        <item x="203"/>
        <item x="396"/>
        <item x="56"/>
        <item x="48"/>
        <item x="334"/>
        <item x="517"/>
        <item x="147"/>
        <item x="398"/>
        <item x="141"/>
        <item x="339"/>
        <item x="152"/>
        <item x="133"/>
        <item x="375"/>
        <item x="151"/>
        <item x="9"/>
        <item x="199"/>
        <item x="535"/>
        <item t="default"/>
      </items>
    </pivotField>
    <pivotField showAll="0"/>
    <pivotField showAll="0"/>
    <pivotField showAll="0"/>
    <pivotField axis="axisPage" showAll="0">
      <items count="27">
        <item x="2"/>
        <item x="3"/>
        <item x="7"/>
        <item x="21"/>
        <item x="13"/>
        <item x="19"/>
        <item x="17"/>
        <item x="11"/>
        <item x="12"/>
        <item x="24"/>
        <item x="9"/>
        <item x="6"/>
        <item x="14"/>
        <item x="22"/>
        <item x="5"/>
        <item x="1"/>
        <item x="15"/>
        <item x="10"/>
        <item x="8"/>
        <item x="23"/>
        <item x="18"/>
        <item x="4"/>
        <item x="20"/>
        <item x="16"/>
        <item x="0"/>
        <item x="25"/>
        <item t="default"/>
      </items>
    </pivotField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>
      <items count="7">
        <item x="2"/>
        <item x="4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21"/>
  </rowFields>
  <rowItems count="1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Contagem de CPF" fld="2" subtotal="count" baseField="0" baseItem="1"/>
    <dataField name="Média de Salario Base" fld="15" subtotal="average" baseField="0" baseItem="1773217705"/>
  </dataFields>
  <formats count="3">
    <format dxfId="123">
      <pivotArea outline="0" collapsedLevelsAreSubtotals="1" fieldPosition="0"/>
    </format>
    <format dxfId="90">
      <pivotArea field="7" type="button" dataOnly="0" labelOnly="1" outline="0"/>
    </format>
    <format dxfId="8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1"/>
  <sheetViews>
    <sheetView tabSelected="1" topLeftCell="I1" workbookViewId="0">
      <selection activeCell="V2" sqref="V2"/>
    </sheetView>
  </sheetViews>
  <sheetFormatPr defaultRowHeight="15" x14ac:dyDescent="0.25"/>
  <cols>
    <col min="2" max="2" width="12.5703125" style="5" bestFit="1" customWidth="1"/>
    <col min="3" max="3" width="15.7109375" style="5" bestFit="1" customWidth="1"/>
    <col min="5" max="5" width="11.140625" bestFit="1" customWidth="1"/>
    <col min="6" max="6" width="15.42578125" customWidth="1"/>
    <col min="7" max="7" width="16.42578125" customWidth="1"/>
    <col min="10" max="11" width="9.140625" style="1"/>
    <col min="12" max="12" width="21.28515625" style="2" bestFit="1" customWidth="1"/>
    <col min="13" max="13" width="21.28515625" style="2" customWidth="1"/>
    <col min="14" max="14" width="16.85546875" style="2" customWidth="1"/>
    <col min="16" max="16" width="13.28515625" style="6" bestFit="1" customWidth="1"/>
    <col min="20" max="20" width="10.5703125" style="6" bestFit="1" customWidth="1"/>
    <col min="22" max="22" width="19" customWidth="1"/>
    <col min="26" max="26" width="11.28515625" bestFit="1" customWidth="1"/>
    <col min="34" max="34" width="9.28515625" bestFit="1" customWidth="1"/>
  </cols>
  <sheetData>
    <row r="1" spans="1:34" x14ac:dyDescent="0.25">
      <c r="A1" t="s">
        <v>0</v>
      </c>
      <c r="B1" s="5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1691</v>
      </c>
      <c r="K1" s="1" t="s">
        <v>1692</v>
      </c>
      <c r="L1" s="2" t="s">
        <v>9</v>
      </c>
      <c r="M1" s="2" t="s">
        <v>1690</v>
      </c>
      <c r="N1" s="2" t="s">
        <v>10</v>
      </c>
      <c r="O1" t="s">
        <v>11</v>
      </c>
      <c r="P1" s="6" t="s">
        <v>12</v>
      </c>
      <c r="Q1" t="s">
        <v>13</v>
      </c>
      <c r="R1" t="s">
        <v>14</v>
      </c>
      <c r="S1" t="s">
        <v>15</v>
      </c>
      <c r="T1" s="6" t="s">
        <v>16</v>
      </c>
      <c r="U1" t="s">
        <v>17</v>
      </c>
      <c r="V1" t="s">
        <v>1668</v>
      </c>
      <c r="W1" t="s">
        <v>1669</v>
      </c>
      <c r="X1" t="s">
        <v>1671</v>
      </c>
      <c r="Y1" t="s">
        <v>1672</v>
      </c>
      <c r="Z1" t="s">
        <v>1670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</row>
    <row r="2" spans="1:34" x14ac:dyDescent="0.25">
      <c r="A2">
        <v>1</v>
      </c>
      <c r="B2" s="5">
        <v>455550390</v>
      </c>
      <c r="C2" s="5">
        <v>57507179051</v>
      </c>
      <c r="D2">
        <v>6482</v>
      </c>
      <c r="E2" t="s">
        <v>1688</v>
      </c>
      <c r="F2" t="s">
        <v>26</v>
      </c>
      <c r="G2" t="s">
        <v>27</v>
      </c>
      <c r="H2">
        <v>25569</v>
      </c>
      <c r="I2">
        <v>20125535</v>
      </c>
      <c r="L2" s="2">
        <v>38792</v>
      </c>
      <c r="M2" s="3">
        <f>YEAR(L2)</f>
        <v>2006</v>
      </c>
      <c r="N2" s="2" t="s">
        <v>28</v>
      </c>
      <c r="O2">
        <v>214</v>
      </c>
      <c r="P2" s="6">
        <v>21910</v>
      </c>
      <c r="Q2">
        <v>10955</v>
      </c>
      <c r="R2">
        <v>4382</v>
      </c>
      <c r="S2">
        <v>242</v>
      </c>
      <c r="T2" s="6">
        <v>719.04</v>
      </c>
      <c r="U2" t="s">
        <v>29</v>
      </c>
      <c r="V2" t="s">
        <v>1673</v>
      </c>
      <c r="W2" t="s">
        <v>1674</v>
      </c>
      <c r="X2" t="s">
        <v>1675</v>
      </c>
      <c r="Y2" t="s">
        <v>61</v>
      </c>
      <c r="Z2" t="s">
        <v>1676</v>
      </c>
      <c r="AA2" t="s">
        <v>30</v>
      </c>
      <c r="AB2">
        <v>140</v>
      </c>
      <c r="AC2">
        <v>47</v>
      </c>
      <c r="AE2">
        <v>97</v>
      </c>
      <c r="AH2" t="s">
        <v>31</v>
      </c>
    </row>
    <row r="3" spans="1:34" x14ac:dyDescent="0.25">
      <c r="A3">
        <v>2</v>
      </c>
      <c r="B3" s="5">
        <v>732355385</v>
      </c>
      <c r="C3" s="5">
        <v>50388536767</v>
      </c>
      <c r="D3">
        <v>6177</v>
      </c>
      <c r="E3" s="1" t="s">
        <v>1688</v>
      </c>
      <c r="F3" t="s">
        <v>32</v>
      </c>
      <c r="G3" t="s">
        <v>33</v>
      </c>
      <c r="H3">
        <v>27145</v>
      </c>
      <c r="I3">
        <v>25995770</v>
      </c>
      <c r="L3" s="2">
        <v>39605</v>
      </c>
      <c r="M3" s="3">
        <f t="shared" ref="M3:M66" si="0">YEAR(L3)</f>
        <v>2008</v>
      </c>
      <c r="N3" s="2" t="s">
        <v>28</v>
      </c>
      <c r="O3">
        <v>171</v>
      </c>
      <c r="P3" s="6">
        <v>5404</v>
      </c>
      <c r="Q3">
        <v>2702</v>
      </c>
      <c r="R3">
        <v>1080.8</v>
      </c>
      <c r="S3">
        <v>154</v>
      </c>
      <c r="T3" s="6">
        <v>574.55999999999995</v>
      </c>
      <c r="U3" t="s">
        <v>34</v>
      </c>
      <c r="V3" t="s">
        <v>1677</v>
      </c>
      <c r="W3" t="s">
        <v>1678</v>
      </c>
      <c r="X3" t="s">
        <v>1675</v>
      </c>
      <c r="Y3" t="s">
        <v>1679</v>
      </c>
      <c r="Z3" t="s">
        <v>1680</v>
      </c>
      <c r="AA3" t="s">
        <v>35</v>
      </c>
      <c r="AB3">
        <v>143</v>
      </c>
      <c r="AC3">
        <v>31</v>
      </c>
      <c r="AE3">
        <v>166</v>
      </c>
      <c r="AH3" t="s">
        <v>36</v>
      </c>
    </row>
    <row r="4" spans="1:34" x14ac:dyDescent="0.25">
      <c r="A4">
        <v>3</v>
      </c>
      <c r="B4" s="5">
        <v>943205737</v>
      </c>
      <c r="C4" s="5">
        <v>59035293914</v>
      </c>
      <c r="D4">
        <v>7736</v>
      </c>
      <c r="E4" s="1" t="s">
        <v>1688</v>
      </c>
      <c r="F4" t="s">
        <v>37</v>
      </c>
      <c r="G4" t="s">
        <v>38</v>
      </c>
      <c r="H4">
        <v>32880</v>
      </c>
      <c r="I4">
        <v>37278465</v>
      </c>
      <c r="L4" s="2">
        <v>39450</v>
      </c>
      <c r="M4" s="3">
        <f t="shared" si="0"/>
        <v>2008</v>
      </c>
      <c r="N4" s="2" t="s">
        <v>28</v>
      </c>
      <c r="O4">
        <v>217</v>
      </c>
      <c r="P4" s="6">
        <v>16066</v>
      </c>
      <c r="Q4">
        <v>8033</v>
      </c>
      <c r="R4">
        <v>3213.2000000000003</v>
      </c>
      <c r="S4">
        <v>154</v>
      </c>
      <c r="T4" s="6">
        <v>729.12</v>
      </c>
      <c r="U4" t="s">
        <v>39</v>
      </c>
      <c r="V4" t="s">
        <v>1677</v>
      </c>
      <c r="W4" t="s">
        <v>1681</v>
      </c>
      <c r="X4" t="s">
        <v>1675</v>
      </c>
      <c r="Y4" t="s">
        <v>1679</v>
      </c>
      <c r="Z4" t="s">
        <v>1680</v>
      </c>
      <c r="AA4" t="s">
        <v>40</v>
      </c>
      <c r="AB4">
        <v>110</v>
      </c>
      <c r="AC4">
        <v>60</v>
      </c>
      <c r="AE4">
        <v>188</v>
      </c>
      <c r="AH4" t="s">
        <v>41</v>
      </c>
    </row>
    <row r="5" spans="1:34" x14ac:dyDescent="0.25">
      <c r="A5">
        <v>4</v>
      </c>
      <c r="B5" s="5">
        <v>968298499</v>
      </c>
      <c r="C5" s="5">
        <v>51397043200</v>
      </c>
      <c r="D5">
        <v>5238</v>
      </c>
      <c r="E5" s="1" t="s">
        <v>1688</v>
      </c>
      <c r="F5" t="s">
        <v>42</v>
      </c>
      <c r="G5" t="s">
        <v>43</v>
      </c>
      <c r="H5">
        <v>34096</v>
      </c>
      <c r="I5">
        <v>49897703</v>
      </c>
      <c r="L5" s="2">
        <v>40666</v>
      </c>
      <c r="M5" s="3">
        <f t="shared" si="0"/>
        <v>2011</v>
      </c>
      <c r="N5" s="2" t="s">
        <v>28</v>
      </c>
      <c r="O5">
        <v>156</v>
      </c>
      <c r="P5" s="6">
        <v>21305</v>
      </c>
      <c r="Q5">
        <v>10652.5</v>
      </c>
      <c r="R5">
        <v>4261</v>
      </c>
      <c r="S5">
        <v>220</v>
      </c>
      <c r="T5" s="6">
        <v>524.16</v>
      </c>
      <c r="U5" t="s">
        <v>44</v>
      </c>
      <c r="V5" t="s">
        <v>1682</v>
      </c>
      <c r="W5" t="s">
        <v>1681</v>
      </c>
      <c r="X5" t="s">
        <v>1683</v>
      </c>
      <c r="Y5" t="s">
        <v>1679</v>
      </c>
      <c r="Z5" t="s">
        <v>1684</v>
      </c>
      <c r="AA5" t="s">
        <v>45</v>
      </c>
      <c r="AB5">
        <v>101</v>
      </c>
      <c r="AC5">
        <v>41</v>
      </c>
      <c r="AE5">
        <v>176</v>
      </c>
      <c r="AH5" t="s">
        <v>41</v>
      </c>
    </row>
    <row r="6" spans="1:34" x14ac:dyDescent="0.25">
      <c r="A6">
        <v>5</v>
      </c>
      <c r="B6" s="5">
        <v>332164465</v>
      </c>
      <c r="C6" s="3">
        <v>1296878897</v>
      </c>
      <c r="D6">
        <v>5182</v>
      </c>
      <c r="E6" s="1" t="s">
        <v>1688</v>
      </c>
      <c r="F6" t="s">
        <v>46</v>
      </c>
      <c r="G6" t="s">
        <v>47</v>
      </c>
      <c r="H6">
        <v>27118</v>
      </c>
      <c r="I6">
        <v>30149335</v>
      </c>
      <c r="L6" s="2">
        <v>36601</v>
      </c>
      <c r="M6" s="3">
        <f t="shared" si="0"/>
        <v>2000</v>
      </c>
      <c r="N6" s="2" t="s">
        <v>28</v>
      </c>
      <c r="O6">
        <v>216</v>
      </c>
      <c r="P6" s="6">
        <v>5098</v>
      </c>
      <c r="Q6">
        <v>2549</v>
      </c>
      <c r="R6">
        <v>1019.6</v>
      </c>
      <c r="S6">
        <v>176</v>
      </c>
      <c r="T6" s="6">
        <v>725.76</v>
      </c>
      <c r="U6" t="s">
        <v>44</v>
      </c>
      <c r="V6" t="s">
        <v>1682</v>
      </c>
      <c r="W6" t="s">
        <v>1681</v>
      </c>
      <c r="X6" t="s">
        <v>1683</v>
      </c>
      <c r="Y6" t="s">
        <v>1679</v>
      </c>
      <c r="Z6" t="s">
        <v>1684</v>
      </c>
      <c r="AA6" t="s">
        <v>48</v>
      </c>
      <c r="AB6">
        <v>35</v>
      </c>
      <c r="AC6">
        <v>9</v>
      </c>
      <c r="AE6">
        <v>121</v>
      </c>
      <c r="AH6" t="s">
        <v>41</v>
      </c>
    </row>
    <row r="7" spans="1:34" x14ac:dyDescent="0.25">
      <c r="A7">
        <v>6</v>
      </c>
      <c r="B7" s="5">
        <v>308540039</v>
      </c>
      <c r="C7" s="5">
        <v>82450866508</v>
      </c>
      <c r="D7">
        <v>7725</v>
      </c>
      <c r="E7" s="1" t="s">
        <v>1688</v>
      </c>
      <c r="F7" t="s">
        <v>49</v>
      </c>
      <c r="G7" t="s">
        <v>50</v>
      </c>
      <c r="H7">
        <v>36299</v>
      </c>
      <c r="I7">
        <v>22796750</v>
      </c>
      <c r="L7" s="2">
        <v>42898</v>
      </c>
      <c r="M7" s="3">
        <f t="shared" si="0"/>
        <v>2017</v>
      </c>
      <c r="N7" s="2" t="s">
        <v>28</v>
      </c>
      <c r="O7">
        <v>177</v>
      </c>
      <c r="P7" s="6">
        <v>23688</v>
      </c>
      <c r="Q7">
        <v>11844</v>
      </c>
      <c r="R7">
        <v>4737.6000000000004</v>
      </c>
      <c r="S7">
        <v>242</v>
      </c>
      <c r="T7" s="6">
        <v>594.71999999999991</v>
      </c>
      <c r="U7" t="s">
        <v>51</v>
      </c>
      <c r="V7" t="s">
        <v>1682</v>
      </c>
      <c r="W7" t="s">
        <v>1674</v>
      </c>
      <c r="X7" t="s">
        <v>1683</v>
      </c>
      <c r="Y7" t="s">
        <v>1679</v>
      </c>
      <c r="Z7" t="s">
        <v>1684</v>
      </c>
      <c r="AA7" t="s">
        <v>52</v>
      </c>
      <c r="AB7">
        <v>75</v>
      </c>
      <c r="AC7">
        <v>27</v>
      </c>
      <c r="AE7">
        <v>55</v>
      </c>
      <c r="AF7">
        <v>150</v>
      </c>
      <c r="AH7" t="s">
        <v>31</v>
      </c>
    </row>
    <row r="8" spans="1:34" x14ac:dyDescent="0.25">
      <c r="A8">
        <v>7</v>
      </c>
      <c r="B8" s="5">
        <v>970144682</v>
      </c>
      <c r="C8" s="5">
        <v>10987705941</v>
      </c>
      <c r="D8">
        <v>3428</v>
      </c>
      <c r="E8" s="1" t="s">
        <v>1688</v>
      </c>
      <c r="F8" t="s">
        <v>53</v>
      </c>
      <c r="G8" t="s">
        <v>54</v>
      </c>
      <c r="H8">
        <v>36431</v>
      </c>
      <c r="I8">
        <v>44060184</v>
      </c>
      <c r="L8" s="2">
        <v>43001</v>
      </c>
      <c r="M8" s="3">
        <f t="shared" si="0"/>
        <v>2017</v>
      </c>
      <c r="N8" s="2" t="s">
        <v>28</v>
      </c>
      <c r="O8">
        <v>242</v>
      </c>
      <c r="P8" s="6">
        <v>17875</v>
      </c>
      <c r="Q8">
        <v>8937.5</v>
      </c>
      <c r="R8">
        <v>3575</v>
      </c>
      <c r="S8">
        <v>286</v>
      </c>
      <c r="T8" s="6">
        <v>813.12</v>
      </c>
      <c r="U8" t="s">
        <v>55</v>
      </c>
      <c r="V8" t="s">
        <v>1673</v>
      </c>
      <c r="W8" t="s">
        <v>1685</v>
      </c>
      <c r="X8" t="s">
        <v>1675</v>
      </c>
      <c r="Y8" t="s">
        <v>61</v>
      </c>
      <c r="Z8" t="s">
        <v>1676</v>
      </c>
      <c r="AA8" t="s">
        <v>56</v>
      </c>
      <c r="AB8">
        <v>62</v>
      </c>
      <c r="AC8">
        <v>6</v>
      </c>
      <c r="AE8">
        <v>98</v>
      </c>
      <c r="AH8" t="s">
        <v>57</v>
      </c>
    </row>
    <row r="9" spans="1:34" x14ac:dyDescent="0.25">
      <c r="A9">
        <v>8</v>
      </c>
      <c r="B9" s="5">
        <v>605178030</v>
      </c>
      <c r="C9" s="5">
        <v>76842679305</v>
      </c>
      <c r="D9">
        <v>4276</v>
      </c>
      <c r="E9" s="1" t="s">
        <v>1688</v>
      </c>
      <c r="F9" t="s">
        <v>58</v>
      </c>
      <c r="G9" t="s">
        <v>59</v>
      </c>
      <c r="H9">
        <v>32681</v>
      </c>
      <c r="I9">
        <v>43115256</v>
      </c>
      <c r="L9" s="2">
        <v>39251</v>
      </c>
      <c r="M9" s="3">
        <f t="shared" si="0"/>
        <v>2007</v>
      </c>
      <c r="N9" s="2" t="s">
        <v>28</v>
      </c>
      <c r="O9">
        <v>229</v>
      </c>
      <c r="P9" s="6">
        <v>3540</v>
      </c>
      <c r="Q9">
        <v>1770</v>
      </c>
      <c r="R9">
        <v>708</v>
      </c>
      <c r="S9">
        <v>198</v>
      </c>
      <c r="T9" s="6">
        <v>769.44</v>
      </c>
      <c r="U9" t="s">
        <v>51</v>
      </c>
      <c r="V9" t="s">
        <v>1682</v>
      </c>
      <c r="W9" t="s">
        <v>1674</v>
      </c>
      <c r="X9" t="s">
        <v>1683</v>
      </c>
      <c r="Y9" t="s">
        <v>1679</v>
      </c>
      <c r="Z9" t="s">
        <v>1684</v>
      </c>
      <c r="AA9" t="s">
        <v>60</v>
      </c>
      <c r="AB9">
        <v>121</v>
      </c>
      <c r="AC9">
        <v>12</v>
      </c>
      <c r="AE9">
        <v>37</v>
      </c>
      <c r="AH9" t="s">
        <v>31</v>
      </c>
    </row>
    <row r="10" spans="1:34" x14ac:dyDescent="0.25">
      <c r="A10">
        <v>9</v>
      </c>
      <c r="B10" s="5">
        <v>861631953</v>
      </c>
      <c r="C10" s="5">
        <v>74310689799</v>
      </c>
      <c r="D10">
        <v>6625</v>
      </c>
      <c r="E10" t="s">
        <v>1689</v>
      </c>
      <c r="F10" t="s">
        <v>62</v>
      </c>
      <c r="G10" t="s">
        <v>63</v>
      </c>
      <c r="H10">
        <v>33059</v>
      </c>
      <c r="I10">
        <v>34949262</v>
      </c>
      <c r="L10" s="2">
        <v>39629</v>
      </c>
      <c r="M10" s="3">
        <f t="shared" si="0"/>
        <v>2008</v>
      </c>
      <c r="N10" s="2" t="s">
        <v>28</v>
      </c>
      <c r="O10">
        <v>222</v>
      </c>
      <c r="P10" s="6">
        <v>23512</v>
      </c>
      <c r="Q10">
        <v>11756</v>
      </c>
      <c r="R10">
        <v>4702.4000000000005</v>
      </c>
      <c r="S10">
        <v>242</v>
      </c>
      <c r="T10" s="6">
        <v>745.92000000000007</v>
      </c>
      <c r="U10" t="s">
        <v>64</v>
      </c>
      <c r="V10" t="s">
        <v>1682</v>
      </c>
      <c r="W10" t="s">
        <v>1685</v>
      </c>
      <c r="X10" t="s">
        <v>1683</v>
      </c>
      <c r="Y10" t="s">
        <v>1679</v>
      </c>
      <c r="Z10" t="s">
        <v>1684</v>
      </c>
      <c r="AA10" t="s">
        <v>65</v>
      </c>
      <c r="AB10">
        <v>90</v>
      </c>
      <c r="AC10">
        <v>49</v>
      </c>
      <c r="AE10">
        <v>116</v>
      </c>
      <c r="AH10" t="s">
        <v>57</v>
      </c>
    </row>
    <row r="11" spans="1:34" x14ac:dyDescent="0.25">
      <c r="A11">
        <v>10</v>
      </c>
      <c r="B11" s="5">
        <v>156468673</v>
      </c>
      <c r="C11" s="5">
        <v>92175010221</v>
      </c>
      <c r="D11">
        <v>4219</v>
      </c>
      <c r="E11" s="1" t="s">
        <v>1689</v>
      </c>
      <c r="F11" t="s">
        <v>66</v>
      </c>
      <c r="G11" t="s">
        <v>67</v>
      </c>
      <c r="H11">
        <v>32690</v>
      </c>
      <c r="I11">
        <v>34786165</v>
      </c>
      <c r="L11" s="2">
        <v>41330</v>
      </c>
      <c r="M11" s="3">
        <f t="shared" si="0"/>
        <v>2013</v>
      </c>
      <c r="N11" s="2" t="s">
        <v>28</v>
      </c>
      <c r="O11">
        <v>214</v>
      </c>
      <c r="P11" s="6">
        <v>24857</v>
      </c>
      <c r="Q11">
        <v>12428.5</v>
      </c>
      <c r="R11">
        <v>4971.4000000000005</v>
      </c>
      <c r="S11">
        <v>264</v>
      </c>
      <c r="T11" s="6">
        <v>719.04</v>
      </c>
      <c r="U11" t="s">
        <v>68</v>
      </c>
      <c r="V11" t="s">
        <v>1686</v>
      </c>
      <c r="W11" t="s">
        <v>1681</v>
      </c>
      <c r="X11" t="s">
        <v>1683</v>
      </c>
      <c r="Y11" t="s">
        <v>1679</v>
      </c>
      <c r="Z11" t="s">
        <v>1684</v>
      </c>
      <c r="AA11" t="s">
        <v>69</v>
      </c>
      <c r="AB11">
        <v>55</v>
      </c>
      <c r="AC11">
        <v>21</v>
      </c>
      <c r="AE11">
        <v>164</v>
      </c>
      <c r="AH11" t="s">
        <v>41</v>
      </c>
    </row>
    <row r="12" spans="1:34" x14ac:dyDescent="0.25">
      <c r="A12">
        <v>11</v>
      </c>
      <c r="B12" s="5">
        <v>182915795</v>
      </c>
      <c r="C12" s="5">
        <v>88574140300</v>
      </c>
      <c r="D12">
        <v>3626</v>
      </c>
      <c r="E12" s="1" t="s">
        <v>1689</v>
      </c>
      <c r="F12" t="s">
        <v>70</v>
      </c>
      <c r="G12" t="s">
        <v>71</v>
      </c>
      <c r="H12">
        <v>26528</v>
      </c>
      <c r="I12">
        <v>47757686</v>
      </c>
      <c r="L12" s="2">
        <v>35594</v>
      </c>
      <c r="M12" s="3">
        <f t="shared" si="0"/>
        <v>1997</v>
      </c>
      <c r="N12" s="2" t="s">
        <v>28</v>
      </c>
      <c r="O12">
        <v>214</v>
      </c>
      <c r="P12" s="6">
        <v>9955</v>
      </c>
      <c r="Q12">
        <v>4977.5</v>
      </c>
      <c r="R12">
        <v>1991</v>
      </c>
      <c r="S12">
        <v>198</v>
      </c>
      <c r="T12" s="6">
        <v>719.04</v>
      </c>
      <c r="U12" t="s">
        <v>44</v>
      </c>
      <c r="V12" t="s">
        <v>1682</v>
      </c>
      <c r="W12" t="s">
        <v>1681</v>
      </c>
      <c r="X12" t="s">
        <v>1683</v>
      </c>
      <c r="Y12" t="s">
        <v>1679</v>
      </c>
      <c r="Z12" t="s">
        <v>1684</v>
      </c>
      <c r="AA12" t="s">
        <v>72</v>
      </c>
      <c r="AB12">
        <v>142</v>
      </c>
      <c r="AC12">
        <v>6</v>
      </c>
      <c r="AE12">
        <v>191</v>
      </c>
      <c r="AH12" t="s">
        <v>41</v>
      </c>
    </row>
    <row r="13" spans="1:34" x14ac:dyDescent="0.25">
      <c r="A13">
        <v>12</v>
      </c>
      <c r="B13" s="5">
        <v>413092549</v>
      </c>
      <c r="C13" s="5">
        <v>74387929625</v>
      </c>
      <c r="D13">
        <v>1651</v>
      </c>
      <c r="E13" s="1" t="s">
        <v>1689</v>
      </c>
      <c r="F13" t="s">
        <v>73</v>
      </c>
      <c r="G13" t="s">
        <v>74</v>
      </c>
      <c r="H13">
        <v>25963</v>
      </c>
      <c r="I13">
        <v>49949843</v>
      </c>
      <c r="L13" s="2">
        <v>32884</v>
      </c>
      <c r="M13" s="3">
        <f t="shared" si="0"/>
        <v>1990</v>
      </c>
      <c r="N13" s="2">
        <v>36515</v>
      </c>
      <c r="O13">
        <v>168</v>
      </c>
      <c r="P13" s="6">
        <v>3179</v>
      </c>
      <c r="Q13">
        <v>1589.5</v>
      </c>
      <c r="R13">
        <v>635.80000000000007</v>
      </c>
      <c r="S13">
        <v>154</v>
      </c>
      <c r="T13" s="6">
        <v>564.48</v>
      </c>
      <c r="U13" t="s">
        <v>44</v>
      </c>
      <c r="V13" t="s">
        <v>1682</v>
      </c>
      <c r="W13" t="s">
        <v>1681</v>
      </c>
      <c r="X13" t="s">
        <v>1683</v>
      </c>
      <c r="Y13" t="s">
        <v>1679</v>
      </c>
      <c r="Z13" t="s">
        <v>1684</v>
      </c>
      <c r="AA13" t="s">
        <v>75</v>
      </c>
      <c r="AB13">
        <v>95</v>
      </c>
      <c r="AC13">
        <v>11</v>
      </c>
      <c r="AE13">
        <v>50</v>
      </c>
      <c r="AF13">
        <v>1500</v>
      </c>
      <c r="AH13" t="s">
        <v>41</v>
      </c>
    </row>
    <row r="14" spans="1:34" x14ac:dyDescent="0.25">
      <c r="A14">
        <v>13</v>
      </c>
      <c r="B14" s="5">
        <v>658540057</v>
      </c>
      <c r="C14" s="5">
        <v>55830536968</v>
      </c>
      <c r="D14">
        <v>2749</v>
      </c>
      <c r="E14" s="1" t="s">
        <v>1688</v>
      </c>
      <c r="F14" t="s">
        <v>76</v>
      </c>
      <c r="G14" t="s">
        <v>77</v>
      </c>
      <c r="H14">
        <v>28392</v>
      </c>
      <c r="I14">
        <v>29865779</v>
      </c>
      <c r="L14" s="2">
        <v>39782</v>
      </c>
      <c r="M14" s="3">
        <f t="shared" si="0"/>
        <v>2008</v>
      </c>
      <c r="N14" s="2" t="s">
        <v>28</v>
      </c>
      <c r="O14">
        <v>196</v>
      </c>
      <c r="P14" s="6">
        <v>22980</v>
      </c>
      <c r="Q14">
        <v>11490</v>
      </c>
      <c r="R14">
        <v>4596</v>
      </c>
      <c r="S14">
        <v>176</v>
      </c>
      <c r="T14" s="6">
        <v>658.56</v>
      </c>
      <c r="U14" t="s">
        <v>78</v>
      </c>
      <c r="V14" t="s">
        <v>1680</v>
      </c>
      <c r="W14" t="s">
        <v>1678</v>
      </c>
      <c r="X14" t="s">
        <v>1675</v>
      </c>
      <c r="Y14" t="s">
        <v>61</v>
      </c>
      <c r="Z14" t="s">
        <v>1676</v>
      </c>
      <c r="AA14" t="s">
        <v>79</v>
      </c>
      <c r="AB14">
        <v>140</v>
      </c>
      <c r="AC14">
        <v>45</v>
      </c>
      <c r="AE14">
        <v>117</v>
      </c>
      <c r="AH14" t="s">
        <v>36</v>
      </c>
    </row>
    <row r="15" spans="1:34" x14ac:dyDescent="0.25">
      <c r="A15">
        <v>14</v>
      </c>
      <c r="B15" s="5">
        <v>843569528</v>
      </c>
      <c r="C15" s="5">
        <v>54730799637</v>
      </c>
      <c r="D15">
        <v>5853</v>
      </c>
      <c r="E15" s="1" t="s">
        <v>1688</v>
      </c>
      <c r="F15" t="s">
        <v>80</v>
      </c>
      <c r="G15" t="s">
        <v>81</v>
      </c>
      <c r="H15">
        <v>31448</v>
      </c>
      <c r="I15">
        <v>35975718</v>
      </c>
      <c r="L15" s="2">
        <v>38018</v>
      </c>
      <c r="M15" s="3">
        <f t="shared" si="0"/>
        <v>2004</v>
      </c>
      <c r="N15" s="2" t="s">
        <v>28</v>
      </c>
      <c r="O15">
        <v>180</v>
      </c>
      <c r="P15" s="6">
        <v>2182</v>
      </c>
      <c r="Q15">
        <v>1091</v>
      </c>
      <c r="R15">
        <v>436.40000000000003</v>
      </c>
      <c r="S15">
        <v>220</v>
      </c>
      <c r="T15" s="6">
        <v>604.80000000000007</v>
      </c>
      <c r="U15" t="s">
        <v>82</v>
      </c>
      <c r="V15" t="s">
        <v>1677</v>
      </c>
      <c r="W15" t="s">
        <v>1685</v>
      </c>
      <c r="X15" t="s">
        <v>1675</v>
      </c>
      <c r="Y15" t="s">
        <v>1679</v>
      </c>
      <c r="Z15" t="s">
        <v>1680</v>
      </c>
      <c r="AA15" t="s">
        <v>83</v>
      </c>
      <c r="AB15">
        <v>142</v>
      </c>
      <c r="AC15">
        <v>28</v>
      </c>
      <c r="AE15">
        <v>111</v>
      </c>
      <c r="AH15" t="s">
        <v>57</v>
      </c>
    </row>
    <row r="16" spans="1:34" x14ac:dyDescent="0.25">
      <c r="A16">
        <v>15</v>
      </c>
      <c r="B16" s="5">
        <v>791412983</v>
      </c>
      <c r="C16" s="5">
        <v>99880514390</v>
      </c>
      <c r="D16">
        <v>5261</v>
      </c>
      <c r="E16" s="1" t="s">
        <v>1688</v>
      </c>
      <c r="F16" t="s">
        <v>84</v>
      </c>
      <c r="G16" t="s">
        <v>85</v>
      </c>
      <c r="H16">
        <v>25726</v>
      </c>
      <c r="I16">
        <v>32029708</v>
      </c>
      <c r="L16" s="2">
        <v>36024</v>
      </c>
      <c r="M16" s="3">
        <f t="shared" si="0"/>
        <v>1998</v>
      </c>
      <c r="N16" s="2">
        <v>39613</v>
      </c>
      <c r="O16">
        <v>203</v>
      </c>
      <c r="P16" s="6">
        <v>22680</v>
      </c>
      <c r="Q16">
        <v>11340</v>
      </c>
      <c r="R16">
        <v>4536</v>
      </c>
      <c r="S16">
        <v>242</v>
      </c>
      <c r="T16" s="6">
        <v>682.07999999999993</v>
      </c>
      <c r="U16" t="s">
        <v>68</v>
      </c>
      <c r="V16" t="s">
        <v>1686</v>
      </c>
      <c r="W16" t="s">
        <v>1681</v>
      </c>
      <c r="X16" t="s">
        <v>1683</v>
      </c>
      <c r="Y16" t="s">
        <v>1679</v>
      </c>
      <c r="Z16" t="s">
        <v>1684</v>
      </c>
      <c r="AA16" t="s">
        <v>86</v>
      </c>
      <c r="AB16">
        <v>54</v>
      </c>
      <c r="AC16">
        <v>25</v>
      </c>
      <c r="AE16">
        <v>77</v>
      </c>
      <c r="AH16" t="s">
        <v>41</v>
      </c>
    </row>
    <row r="17" spans="1:34" x14ac:dyDescent="0.25">
      <c r="A17">
        <v>16</v>
      </c>
      <c r="B17" s="5">
        <v>472900409</v>
      </c>
      <c r="C17" s="5">
        <v>58073890246</v>
      </c>
      <c r="D17">
        <v>2299</v>
      </c>
      <c r="E17" s="1" t="s">
        <v>1689</v>
      </c>
      <c r="F17" t="s">
        <v>87</v>
      </c>
      <c r="G17" t="s">
        <v>88</v>
      </c>
      <c r="H17">
        <v>32500</v>
      </c>
      <c r="I17">
        <v>25892815</v>
      </c>
      <c r="L17" s="2">
        <v>42618</v>
      </c>
      <c r="M17" s="3">
        <f t="shared" si="0"/>
        <v>2016</v>
      </c>
      <c r="N17" s="2" t="s">
        <v>28</v>
      </c>
      <c r="O17">
        <v>236</v>
      </c>
      <c r="P17" s="6">
        <v>2411</v>
      </c>
      <c r="Q17">
        <v>1205.5</v>
      </c>
      <c r="R17">
        <v>482.20000000000005</v>
      </c>
      <c r="S17">
        <v>264</v>
      </c>
      <c r="T17" s="6">
        <v>792.96</v>
      </c>
      <c r="U17" t="s">
        <v>64</v>
      </c>
      <c r="V17" t="s">
        <v>1682</v>
      </c>
      <c r="W17" t="s">
        <v>1685</v>
      </c>
      <c r="X17" t="s">
        <v>1683</v>
      </c>
      <c r="Y17" t="s">
        <v>1679</v>
      </c>
      <c r="Z17" t="s">
        <v>1684</v>
      </c>
      <c r="AA17" t="s">
        <v>89</v>
      </c>
      <c r="AB17">
        <v>38</v>
      </c>
      <c r="AC17">
        <v>29</v>
      </c>
      <c r="AE17">
        <v>38</v>
      </c>
      <c r="AH17" t="s">
        <v>57</v>
      </c>
    </row>
    <row r="18" spans="1:34" x14ac:dyDescent="0.25">
      <c r="A18">
        <v>17</v>
      </c>
      <c r="B18" s="5">
        <v>711435762</v>
      </c>
      <c r="C18" s="5">
        <v>61294979931</v>
      </c>
      <c r="D18">
        <v>4017</v>
      </c>
      <c r="E18" s="1" t="s">
        <v>1689</v>
      </c>
      <c r="F18" t="s">
        <v>90</v>
      </c>
      <c r="G18" t="s">
        <v>91</v>
      </c>
      <c r="H18">
        <v>26126</v>
      </c>
      <c r="I18">
        <v>35752243</v>
      </c>
      <c r="L18" s="2">
        <v>33473</v>
      </c>
      <c r="M18" s="3">
        <f t="shared" si="0"/>
        <v>1991</v>
      </c>
      <c r="N18" s="2" t="s">
        <v>28</v>
      </c>
      <c r="O18">
        <v>187</v>
      </c>
      <c r="P18" s="6">
        <v>15718</v>
      </c>
      <c r="Q18">
        <v>7859</v>
      </c>
      <c r="R18">
        <v>3143.6000000000004</v>
      </c>
      <c r="S18">
        <v>176</v>
      </c>
      <c r="T18" s="6">
        <v>628.32000000000005</v>
      </c>
      <c r="U18" t="s">
        <v>92</v>
      </c>
      <c r="V18" t="s">
        <v>1686</v>
      </c>
      <c r="W18" t="s">
        <v>1678</v>
      </c>
      <c r="X18" t="s">
        <v>1683</v>
      </c>
      <c r="Y18" t="s">
        <v>1679</v>
      </c>
      <c r="Z18" t="s">
        <v>1684</v>
      </c>
      <c r="AA18" t="s">
        <v>93</v>
      </c>
      <c r="AB18">
        <v>90</v>
      </c>
      <c r="AC18">
        <v>55</v>
      </c>
      <c r="AE18">
        <v>179</v>
      </c>
      <c r="AH18" t="s">
        <v>36</v>
      </c>
    </row>
    <row r="19" spans="1:34" x14ac:dyDescent="0.25">
      <c r="A19">
        <v>18</v>
      </c>
      <c r="B19" s="5">
        <v>684665210</v>
      </c>
      <c r="C19" s="5">
        <v>90419094811</v>
      </c>
      <c r="D19">
        <v>2858</v>
      </c>
      <c r="E19" s="1" t="s">
        <v>1689</v>
      </c>
      <c r="F19" t="s">
        <v>94</v>
      </c>
      <c r="G19" t="s">
        <v>95</v>
      </c>
      <c r="H19">
        <v>28618</v>
      </c>
      <c r="I19">
        <v>49335895</v>
      </c>
      <c r="L19" s="2">
        <v>43033</v>
      </c>
      <c r="M19" s="3">
        <f t="shared" si="0"/>
        <v>2017</v>
      </c>
      <c r="N19" s="2" t="s">
        <v>28</v>
      </c>
      <c r="O19">
        <v>171</v>
      </c>
      <c r="P19" s="6">
        <v>8460</v>
      </c>
      <c r="Q19">
        <v>4230</v>
      </c>
      <c r="R19">
        <v>1692</v>
      </c>
      <c r="S19">
        <v>308</v>
      </c>
      <c r="T19" s="6">
        <v>574.55999999999995</v>
      </c>
      <c r="U19" t="s">
        <v>96</v>
      </c>
      <c r="V19" t="s">
        <v>1686</v>
      </c>
      <c r="W19" t="s">
        <v>1687</v>
      </c>
      <c r="X19" t="s">
        <v>1683</v>
      </c>
      <c r="Y19" t="s">
        <v>1679</v>
      </c>
      <c r="Z19" t="s">
        <v>1684</v>
      </c>
      <c r="AA19" t="s">
        <v>97</v>
      </c>
      <c r="AB19">
        <v>145</v>
      </c>
      <c r="AC19">
        <v>60</v>
      </c>
      <c r="AE19">
        <v>98</v>
      </c>
      <c r="AH19" t="s">
        <v>98</v>
      </c>
    </row>
    <row r="20" spans="1:34" x14ac:dyDescent="0.25">
      <c r="A20">
        <v>19</v>
      </c>
      <c r="B20" s="5">
        <v>456872620</v>
      </c>
      <c r="C20" s="5">
        <v>80042375281</v>
      </c>
      <c r="D20">
        <v>3290</v>
      </c>
      <c r="E20" s="1" t="s">
        <v>1689</v>
      </c>
      <c r="F20" t="s">
        <v>99</v>
      </c>
      <c r="G20" t="s">
        <v>100</v>
      </c>
      <c r="H20">
        <v>35634</v>
      </c>
      <c r="I20">
        <v>35144102</v>
      </c>
      <c r="L20" s="2">
        <v>42204</v>
      </c>
      <c r="M20" s="3">
        <f t="shared" si="0"/>
        <v>2015</v>
      </c>
      <c r="N20" s="2">
        <v>43105</v>
      </c>
      <c r="O20">
        <v>150</v>
      </c>
      <c r="P20" s="6">
        <v>4860</v>
      </c>
      <c r="Q20">
        <v>2430</v>
      </c>
      <c r="R20">
        <v>972</v>
      </c>
      <c r="S20">
        <v>308</v>
      </c>
      <c r="T20" s="6">
        <v>504</v>
      </c>
      <c r="U20" t="s">
        <v>51</v>
      </c>
      <c r="V20" t="s">
        <v>1682</v>
      </c>
      <c r="W20" t="s">
        <v>1674</v>
      </c>
      <c r="X20" t="s">
        <v>1683</v>
      </c>
      <c r="Y20" t="s">
        <v>1679</v>
      </c>
      <c r="Z20" t="s">
        <v>1684</v>
      </c>
      <c r="AA20" t="s">
        <v>101</v>
      </c>
      <c r="AB20">
        <v>70</v>
      </c>
      <c r="AC20">
        <v>40</v>
      </c>
      <c r="AE20">
        <v>55</v>
      </c>
      <c r="AH20" t="s">
        <v>31</v>
      </c>
    </row>
    <row r="21" spans="1:34" x14ac:dyDescent="0.25">
      <c r="A21">
        <v>20</v>
      </c>
      <c r="B21" s="5">
        <v>306216162</v>
      </c>
      <c r="C21" s="3">
        <v>9952323392</v>
      </c>
      <c r="D21">
        <v>7559</v>
      </c>
      <c r="E21" s="1" t="s">
        <v>1689</v>
      </c>
      <c r="F21" t="s">
        <v>102</v>
      </c>
      <c r="G21" t="s">
        <v>103</v>
      </c>
      <c r="H21">
        <v>34000</v>
      </c>
      <c r="I21">
        <v>37298996</v>
      </c>
      <c r="L21" s="2">
        <v>40570</v>
      </c>
      <c r="M21" s="3">
        <f t="shared" si="0"/>
        <v>2011</v>
      </c>
      <c r="N21" s="2">
        <v>40972</v>
      </c>
      <c r="O21">
        <v>239</v>
      </c>
      <c r="P21" s="6">
        <v>12499</v>
      </c>
      <c r="Q21">
        <v>6249.5</v>
      </c>
      <c r="R21">
        <v>2499.8000000000002</v>
      </c>
      <c r="S21">
        <v>176</v>
      </c>
      <c r="T21" s="6">
        <v>803.04</v>
      </c>
      <c r="U21" t="s">
        <v>51</v>
      </c>
      <c r="V21" t="s">
        <v>1682</v>
      </c>
      <c r="W21" t="s">
        <v>1674</v>
      </c>
      <c r="X21" t="s">
        <v>1683</v>
      </c>
      <c r="Y21" t="s">
        <v>1679</v>
      </c>
      <c r="Z21" t="s">
        <v>1684</v>
      </c>
      <c r="AA21" t="s">
        <v>104</v>
      </c>
      <c r="AB21">
        <v>146</v>
      </c>
      <c r="AC21">
        <v>44</v>
      </c>
      <c r="AE21">
        <v>11</v>
      </c>
      <c r="AH21" t="s">
        <v>31</v>
      </c>
    </row>
    <row r="22" spans="1:34" x14ac:dyDescent="0.25">
      <c r="A22">
        <v>21</v>
      </c>
      <c r="B22" s="5">
        <v>107803754</v>
      </c>
      <c r="C22" s="5">
        <v>76884371772</v>
      </c>
      <c r="D22">
        <v>4076</v>
      </c>
      <c r="E22" s="1" t="s">
        <v>1688</v>
      </c>
      <c r="F22" t="s">
        <v>105</v>
      </c>
      <c r="G22" t="s">
        <v>106</v>
      </c>
      <c r="H22">
        <v>27757</v>
      </c>
      <c r="I22">
        <v>29675378</v>
      </c>
      <c r="L22" s="2">
        <v>39073</v>
      </c>
      <c r="M22" s="3">
        <f t="shared" si="0"/>
        <v>2006</v>
      </c>
      <c r="N22" s="2" t="s">
        <v>28</v>
      </c>
      <c r="O22">
        <v>249</v>
      </c>
      <c r="P22" s="6">
        <v>19045</v>
      </c>
      <c r="Q22">
        <v>9522.5</v>
      </c>
      <c r="R22">
        <v>3809</v>
      </c>
      <c r="S22">
        <v>264</v>
      </c>
      <c r="T22" s="6">
        <v>836.64</v>
      </c>
      <c r="U22" t="s">
        <v>55</v>
      </c>
      <c r="V22" t="s">
        <v>1673</v>
      </c>
      <c r="W22" t="s">
        <v>1685</v>
      </c>
      <c r="X22" t="s">
        <v>1675</v>
      </c>
      <c r="Y22" t="s">
        <v>61</v>
      </c>
      <c r="Z22" t="s">
        <v>1676</v>
      </c>
      <c r="AA22" t="s">
        <v>107</v>
      </c>
      <c r="AB22">
        <v>97</v>
      </c>
      <c r="AC22">
        <v>31</v>
      </c>
      <c r="AE22">
        <v>133</v>
      </c>
      <c r="AH22" t="s">
        <v>57</v>
      </c>
    </row>
    <row r="23" spans="1:34" x14ac:dyDescent="0.25">
      <c r="A23">
        <v>22</v>
      </c>
      <c r="B23" s="5">
        <v>676648702</v>
      </c>
      <c r="C23" s="5">
        <v>53442435980</v>
      </c>
      <c r="D23">
        <v>3181</v>
      </c>
      <c r="E23" s="1" t="s">
        <v>1689</v>
      </c>
      <c r="F23" t="s">
        <v>108</v>
      </c>
      <c r="G23" t="s">
        <v>109</v>
      </c>
      <c r="H23">
        <v>31851</v>
      </c>
      <c r="I23">
        <v>45877495</v>
      </c>
      <c r="L23" s="2">
        <v>41346</v>
      </c>
      <c r="M23" s="3">
        <f t="shared" si="0"/>
        <v>2013</v>
      </c>
      <c r="N23" s="2" t="s">
        <v>28</v>
      </c>
      <c r="O23">
        <v>163</v>
      </c>
      <c r="P23" s="6">
        <v>10726</v>
      </c>
      <c r="Q23">
        <v>5363</v>
      </c>
      <c r="R23">
        <v>2145.2000000000003</v>
      </c>
      <c r="S23">
        <v>198</v>
      </c>
      <c r="T23" s="6">
        <v>547.67999999999995</v>
      </c>
      <c r="U23" t="s">
        <v>110</v>
      </c>
      <c r="V23" t="s">
        <v>1680</v>
      </c>
      <c r="W23" t="s">
        <v>1687</v>
      </c>
      <c r="X23" t="s">
        <v>1675</v>
      </c>
      <c r="Y23" t="s">
        <v>61</v>
      </c>
      <c r="Z23" t="s">
        <v>1676</v>
      </c>
      <c r="AA23" t="s">
        <v>111</v>
      </c>
      <c r="AB23">
        <v>108</v>
      </c>
      <c r="AC23">
        <v>7</v>
      </c>
      <c r="AE23">
        <v>2</v>
      </c>
      <c r="AH23" t="s">
        <v>98</v>
      </c>
    </row>
    <row r="24" spans="1:34" x14ac:dyDescent="0.25">
      <c r="A24">
        <v>23</v>
      </c>
      <c r="B24" s="5">
        <v>698776875</v>
      </c>
      <c r="C24" s="5">
        <v>44454372496</v>
      </c>
      <c r="D24">
        <v>2198</v>
      </c>
      <c r="E24" s="1" t="s">
        <v>1689</v>
      </c>
      <c r="F24" t="s">
        <v>112</v>
      </c>
      <c r="G24" t="s">
        <v>113</v>
      </c>
      <c r="H24">
        <v>35703</v>
      </c>
      <c r="I24">
        <v>20448128</v>
      </c>
      <c r="L24" s="2">
        <v>42906</v>
      </c>
      <c r="M24" s="3">
        <f t="shared" si="0"/>
        <v>2017</v>
      </c>
      <c r="N24" s="2" t="s">
        <v>28</v>
      </c>
      <c r="O24">
        <v>221</v>
      </c>
      <c r="P24" s="6">
        <v>9402</v>
      </c>
      <c r="Q24">
        <v>4701</v>
      </c>
      <c r="R24">
        <v>1880.4</v>
      </c>
      <c r="S24">
        <v>154</v>
      </c>
      <c r="T24" s="6">
        <v>742.56</v>
      </c>
      <c r="U24" t="s">
        <v>39</v>
      </c>
      <c r="V24" t="s">
        <v>1677</v>
      </c>
      <c r="W24" t="s">
        <v>1681</v>
      </c>
      <c r="X24" t="s">
        <v>1675</v>
      </c>
      <c r="Y24" t="s">
        <v>1679</v>
      </c>
      <c r="Z24" t="s">
        <v>1680</v>
      </c>
      <c r="AA24" t="s">
        <v>114</v>
      </c>
      <c r="AB24">
        <v>87</v>
      </c>
      <c r="AC24">
        <v>46</v>
      </c>
      <c r="AE24">
        <v>196</v>
      </c>
      <c r="AH24" t="s">
        <v>41</v>
      </c>
    </row>
    <row r="25" spans="1:34" x14ac:dyDescent="0.25">
      <c r="A25">
        <v>24</v>
      </c>
      <c r="B25" s="5">
        <v>190380293</v>
      </c>
      <c r="C25" s="5">
        <v>80646889575</v>
      </c>
      <c r="D25">
        <v>4917</v>
      </c>
      <c r="E25" s="1" t="s">
        <v>1689</v>
      </c>
      <c r="F25" t="s">
        <v>115</v>
      </c>
      <c r="G25" t="s">
        <v>116</v>
      </c>
      <c r="H25">
        <v>30479</v>
      </c>
      <c r="I25">
        <v>47499393</v>
      </c>
      <c r="L25" s="2">
        <v>41633</v>
      </c>
      <c r="M25" s="3">
        <f t="shared" si="0"/>
        <v>2013</v>
      </c>
      <c r="N25" s="2" t="s">
        <v>28</v>
      </c>
      <c r="O25">
        <v>235</v>
      </c>
      <c r="P25" s="6">
        <v>13024</v>
      </c>
      <c r="Q25">
        <v>6512</v>
      </c>
      <c r="R25">
        <v>2604.8000000000002</v>
      </c>
      <c r="S25">
        <v>286</v>
      </c>
      <c r="T25" s="6">
        <v>789.6</v>
      </c>
      <c r="U25" t="s">
        <v>29</v>
      </c>
      <c r="V25" t="s">
        <v>1673</v>
      </c>
      <c r="W25" t="s">
        <v>1674</v>
      </c>
      <c r="X25" t="s">
        <v>1675</v>
      </c>
      <c r="Y25" t="s">
        <v>61</v>
      </c>
      <c r="Z25" t="s">
        <v>1676</v>
      </c>
      <c r="AA25" t="s">
        <v>117</v>
      </c>
      <c r="AB25">
        <v>77</v>
      </c>
      <c r="AC25">
        <v>1</v>
      </c>
      <c r="AE25">
        <v>82</v>
      </c>
      <c r="AH25" t="s">
        <v>31</v>
      </c>
    </row>
    <row r="26" spans="1:34" x14ac:dyDescent="0.25">
      <c r="A26">
        <v>25</v>
      </c>
      <c r="B26" s="5">
        <v>669446675</v>
      </c>
      <c r="C26" s="5">
        <v>32150458469</v>
      </c>
      <c r="D26">
        <v>4141</v>
      </c>
      <c r="E26" s="1" t="s">
        <v>1689</v>
      </c>
      <c r="F26" t="s">
        <v>118</v>
      </c>
      <c r="G26" t="s">
        <v>119</v>
      </c>
      <c r="H26">
        <v>31232</v>
      </c>
      <c r="I26">
        <v>25310016</v>
      </c>
      <c r="L26" s="2">
        <v>37802</v>
      </c>
      <c r="M26" s="3">
        <f t="shared" si="0"/>
        <v>2003</v>
      </c>
      <c r="N26" s="2" t="s">
        <v>28</v>
      </c>
      <c r="O26">
        <v>167</v>
      </c>
      <c r="P26" s="6">
        <v>23612</v>
      </c>
      <c r="Q26">
        <v>11806</v>
      </c>
      <c r="R26">
        <v>4722.4000000000005</v>
      </c>
      <c r="S26">
        <v>264</v>
      </c>
      <c r="T26" s="6">
        <v>561.12</v>
      </c>
      <c r="U26" t="s">
        <v>120</v>
      </c>
      <c r="V26" t="s">
        <v>1673</v>
      </c>
      <c r="W26" t="s">
        <v>1681</v>
      </c>
      <c r="X26" t="s">
        <v>1675</v>
      </c>
      <c r="Y26" t="s">
        <v>61</v>
      </c>
      <c r="Z26" t="s">
        <v>1676</v>
      </c>
      <c r="AA26" t="s">
        <v>121</v>
      </c>
      <c r="AB26">
        <v>120</v>
      </c>
      <c r="AC26">
        <v>46</v>
      </c>
      <c r="AE26">
        <v>160</v>
      </c>
      <c r="AH26" t="s">
        <v>41</v>
      </c>
    </row>
    <row r="27" spans="1:34" x14ac:dyDescent="0.25">
      <c r="A27">
        <v>26</v>
      </c>
      <c r="B27" s="5">
        <v>762921558</v>
      </c>
      <c r="C27" s="5">
        <v>10613644993</v>
      </c>
      <c r="D27">
        <v>7408</v>
      </c>
      <c r="E27" s="1" t="s">
        <v>1688</v>
      </c>
      <c r="F27" t="s">
        <v>122</v>
      </c>
      <c r="G27" t="s">
        <v>123</v>
      </c>
      <c r="H27">
        <v>33289</v>
      </c>
      <c r="I27">
        <v>31389047</v>
      </c>
      <c r="L27" s="2">
        <v>41461</v>
      </c>
      <c r="M27" s="3">
        <f t="shared" si="0"/>
        <v>2013</v>
      </c>
      <c r="N27" s="2" t="s">
        <v>28</v>
      </c>
      <c r="O27">
        <v>190</v>
      </c>
      <c r="P27" s="6">
        <v>16364</v>
      </c>
      <c r="Q27">
        <v>8182</v>
      </c>
      <c r="R27">
        <v>3272.8</v>
      </c>
      <c r="S27">
        <v>154</v>
      </c>
      <c r="T27" s="6">
        <v>638.4</v>
      </c>
      <c r="U27" t="s">
        <v>96</v>
      </c>
      <c r="V27" t="s">
        <v>1686</v>
      </c>
      <c r="W27" t="s">
        <v>1687</v>
      </c>
      <c r="X27" t="s">
        <v>1683</v>
      </c>
      <c r="Y27" t="s">
        <v>1679</v>
      </c>
      <c r="Z27" t="s">
        <v>1684</v>
      </c>
      <c r="AA27" t="s">
        <v>124</v>
      </c>
      <c r="AB27">
        <v>77</v>
      </c>
      <c r="AC27">
        <v>57</v>
      </c>
      <c r="AE27">
        <v>2</v>
      </c>
      <c r="AH27" t="s">
        <v>98</v>
      </c>
    </row>
    <row r="28" spans="1:34" x14ac:dyDescent="0.25">
      <c r="A28">
        <v>27</v>
      </c>
      <c r="B28" s="5">
        <v>633317875</v>
      </c>
      <c r="C28" s="5">
        <v>39560733219</v>
      </c>
      <c r="D28">
        <v>6002</v>
      </c>
      <c r="E28" s="1" t="s">
        <v>1688</v>
      </c>
      <c r="F28" t="s">
        <v>125</v>
      </c>
      <c r="G28" t="s">
        <v>126</v>
      </c>
      <c r="H28">
        <v>33314</v>
      </c>
      <c r="I28">
        <v>31780433</v>
      </c>
      <c r="L28" s="2">
        <v>40392</v>
      </c>
      <c r="M28" s="3">
        <f t="shared" si="0"/>
        <v>2010</v>
      </c>
      <c r="N28" s="2" t="s">
        <v>28</v>
      </c>
      <c r="O28">
        <v>189</v>
      </c>
      <c r="P28" s="6">
        <v>1865</v>
      </c>
      <c r="Q28">
        <v>932.5</v>
      </c>
      <c r="R28">
        <v>373</v>
      </c>
      <c r="S28">
        <v>198</v>
      </c>
      <c r="T28" s="6">
        <v>635.04</v>
      </c>
      <c r="U28" t="s">
        <v>127</v>
      </c>
      <c r="V28" t="s">
        <v>1686</v>
      </c>
      <c r="W28" t="s">
        <v>1685</v>
      </c>
      <c r="X28" t="s">
        <v>1683</v>
      </c>
      <c r="Y28" t="s">
        <v>1679</v>
      </c>
      <c r="Z28" t="s">
        <v>1684</v>
      </c>
      <c r="AA28" t="s">
        <v>128</v>
      </c>
      <c r="AB28">
        <v>99</v>
      </c>
      <c r="AC28">
        <v>54</v>
      </c>
      <c r="AE28">
        <v>9</v>
      </c>
      <c r="AH28" t="s">
        <v>57</v>
      </c>
    </row>
    <row r="29" spans="1:34" x14ac:dyDescent="0.25">
      <c r="A29">
        <v>28</v>
      </c>
      <c r="B29" s="5">
        <v>511591702</v>
      </c>
      <c r="C29" s="5">
        <v>94183063959</v>
      </c>
      <c r="D29">
        <v>6939</v>
      </c>
      <c r="E29" s="1" t="s">
        <v>1689</v>
      </c>
      <c r="F29" t="s">
        <v>129</v>
      </c>
      <c r="G29" t="s">
        <v>130</v>
      </c>
      <c r="H29">
        <v>33530</v>
      </c>
      <c r="I29">
        <v>38114990</v>
      </c>
      <c r="L29" s="2">
        <v>40100</v>
      </c>
      <c r="M29" s="3">
        <f t="shared" si="0"/>
        <v>2009</v>
      </c>
      <c r="N29" s="2" t="s">
        <v>28</v>
      </c>
      <c r="O29">
        <v>243</v>
      </c>
      <c r="P29" s="6">
        <v>7601</v>
      </c>
      <c r="Q29">
        <v>3800.5</v>
      </c>
      <c r="R29">
        <v>1520.2</v>
      </c>
      <c r="S29">
        <v>198</v>
      </c>
      <c r="T29" s="6">
        <v>816.48</v>
      </c>
      <c r="U29" t="s">
        <v>110</v>
      </c>
      <c r="V29" t="s">
        <v>1680</v>
      </c>
      <c r="W29" t="s">
        <v>1687</v>
      </c>
      <c r="X29" t="s">
        <v>1675</v>
      </c>
      <c r="Y29" t="s">
        <v>61</v>
      </c>
      <c r="Z29" t="s">
        <v>1676</v>
      </c>
      <c r="AA29" t="s">
        <v>131</v>
      </c>
      <c r="AB29">
        <v>33</v>
      </c>
      <c r="AC29">
        <v>44</v>
      </c>
      <c r="AE29">
        <v>97</v>
      </c>
      <c r="AH29" t="s">
        <v>98</v>
      </c>
    </row>
    <row r="30" spans="1:34" x14ac:dyDescent="0.25">
      <c r="A30">
        <v>29</v>
      </c>
      <c r="B30" s="5">
        <v>443973441</v>
      </c>
      <c r="C30" s="3">
        <v>8330691531</v>
      </c>
      <c r="D30">
        <v>1998</v>
      </c>
      <c r="E30" s="1" t="s">
        <v>1688</v>
      </c>
      <c r="F30" t="s">
        <v>132</v>
      </c>
      <c r="G30" t="s">
        <v>133</v>
      </c>
      <c r="H30">
        <v>28641</v>
      </c>
      <c r="I30">
        <v>28589632</v>
      </c>
      <c r="L30" s="2">
        <v>39293</v>
      </c>
      <c r="M30" s="3">
        <f t="shared" si="0"/>
        <v>2007</v>
      </c>
      <c r="N30" s="2" t="s">
        <v>28</v>
      </c>
      <c r="O30">
        <v>190</v>
      </c>
      <c r="P30" s="6">
        <v>11283</v>
      </c>
      <c r="Q30">
        <v>5641.5</v>
      </c>
      <c r="R30">
        <v>2256.6</v>
      </c>
      <c r="S30">
        <v>176</v>
      </c>
      <c r="T30" s="6">
        <v>638.4</v>
      </c>
      <c r="U30" t="s">
        <v>51</v>
      </c>
      <c r="V30" t="s">
        <v>1682</v>
      </c>
      <c r="W30" t="s">
        <v>1674</v>
      </c>
      <c r="X30" t="s">
        <v>1683</v>
      </c>
      <c r="Y30" t="s">
        <v>1679</v>
      </c>
      <c r="Z30" t="s">
        <v>1684</v>
      </c>
      <c r="AA30" t="s">
        <v>134</v>
      </c>
      <c r="AB30">
        <v>32</v>
      </c>
      <c r="AC30">
        <v>34</v>
      </c>
      <c r="AE30">
        <v>85</v>
      </c>
      <c r="AH30" t="s">
        <v>31</v>
      </c>
    </row>
    <row r="31" spans="1:34" x14ac:dyDescent="0.25">
      <c r="A31">
        <v>30</v>
      </c>
      <c r="B31" s="5">
        <v>678558573</v>
      </c>
      <c r="C31" s="5">
        <v>41787164393</v>
      </c>
      <c r="D31">
        <v>4059</v>
      </c>
      <c r="E31" s="1" t="s">
        <v>1689</v>
      </c>
      <c r="F31" t="s">
        <v>135</v>
      </c>
      <c r="G31" t="s">
        <v>136</v>
      </c>
      <c r="H31">
        <v>30197</v>
      </c>
      <c r="I31">
        <v>20809521</v>
      </c>
      <c r="L31" s="2">
        <v>40283</v>
      </c>
      <c r="M31" s="3">
        <f t="shared" si="0"/>
        <v>2010</v>
      </c>
      <c r="N31" s="2">
        <v>43005</v>
      </c>
      <c r="O31">
        <v>189</v>
      </c>
      <c r="P31" s="6">
        <v>12104</v>
      </c>
      <c r="Q31">
        <v>6052</v>
      </c>
      <c r="R31">
        <v>2420.8000000000002</v>
      </c>
      <c r="S31">
        <v>154</v>
      </c>
      <c r="T31" s="6">
        <v>635.04</v>
      </c>
      <c r="U31" t="s">
        <v>92</v>
      </c>
      <c r="V31" t="s">
        <v>1686</v>
      </c>
      <c r="W31" t="s">
        <v>1678</v>
      </c>
      <c r="X31" t="s">
        <v>1683</v>
      </c>
      <c r="Y31" t="s">
        <v>1679</v>
      </c>
      <c r="Z31" t="s">
        <v>1684</v>
      </c>
      <c r="AA31" t="s">
        <v>137</v>
      </c>
      <c r="AB31">
        <v>113</v>
      </c>
      <c r="AC31">
        <v>18</v>
      </c>
      <c r="AE31">
        <v>14</v>
      </c>
      <c r="AH31" t="s">
        <v>36</v>
      </c>
    </row>
    <row r="32" spans="1:34" x14ac:dyDescent="0.25">
      <c r="A32">
        <v>31</v>
      </c>
      <c r="B32" s="5">
        <v>639216635</v>
      </c>
      <c r="C32" s="5">
        <v>37634974772</v>
      </c>
      <c r="D32">
        <v>2281</v>
      </c>
      <c r="E32" s="1" t="s">
        <v>1689</v>
      </c>
      <c r="F32" t="s">
        <v>138</v>
      </c>
      <c r="G32" t="s">
        <v>139</v>
      </c>
      <c r="H32">
        <v>27575</v>
      </c>
      <c r="I32">
        <v>47649712</v>
      </c>
      <c r="L32" s="2">
        <v>39711</v>
      </c>
      <c r="M32" s="3">
        <f t="shared" si="0"/>
        <v>2008</v>
      </c>
      <c r="N32" s="2" t="s">
        <v>28</v>
      </c>
      <c r="O32">
        <v>180</v>
      </c>
      <c r="P32" s="6">
        <v>9562</v>
      </c>
      <c r="Q32">
        <v>4781</v>
      </c>
      <c r="R32">
        <v>1912.4</v>
      </c>
      <c r="S32">
        <v>264</v>
      </c>
      <c r="T32" s="6">
        <v>604.80000000000007</v>
      </c>
      <c r="U32" t="s">
        <v>140</v>
      </c>
      <c r="V32" t="s">
        <v>1682</v>
      </c>
      <c r="W32" t="s">
        <v>1678</v>
      </c>
      <c r="X32" t="s">
        <v>1683</v>
      </c>
      <c r="Y32" t="s">
        <v>1679</v>
      </c>
      <c r="Z32" t="s">
        <v>1684</v>
      </c>
      <c r="AA32" t="s">
        <v>141</v>
      </c>
      <c r="AB32">
        <v>125</v>
      </c>
      <c r="AC32">
        <v>16</v>
      </c>
      <c r="AE32">
        <v>195</v>
      </c>
      <c r="AH32" t="s">
        <v>36</v>
      </c>
    </row>
    <row r="33" spans="1:34" x14ac:dyDescent="0.25">
      <c r="A33">
        <v>32</v>
      </c>
      <c r="B33" s="5">
        <v>444964987</v>
      </c>
      <c r="C33" s="5">
        <v>84826119176</v>
      </c>
      <c r="D33">
        <v>4931</v>
      </c>
      <c r="E33" s="1" t="s">
        <v>1688</v>
      </c>
      <c r="F33" t="s">
        <v>142</v>
      </c>
      <c r="G33" t="s">
        <v>143</v>
      </c>
      <c r="H33">
        <v>29633</v>
      </c>
      <c r="I33">
        <v>49055261</v>
      </c>
      <c r="L33" s="2">
        <v>37311</v>
      </c>
      <c r="M33" s="3">
        <f t="shared" si="0"/>
        <v>2002</v>
      </c>
      <c r="N33" s="2" t="s">
        <v>28</v>
      </c>
      <c r="O33">
        <v>188</v>
      </c>
      <c r="P33" s="6">
        <v>24271</v>
      </c>
      <c r="Q33">
        <v>12135.5</v>
      </c>
      <c r="R33">
        <v>4854.2</v>
      </c>
      <c r="S33">
        <v>308</v>
      </c>
      <c r="T33" s="6">
        <v>631.67999999999995</v>
      </c>
      <c r="U33" t="s">
        <v>68</v>
      </c>
      <c r="V33" t="s">
        <v>1686</v>
      </c>
      <c r="W33" t="s">
        <v>1681</v>
      </c>
      <c r="X33" t="s">
        <v>1683</v>
      </c>
      <c r="Y33" t="s">
        <v>1679</v>
      </c>
      <c r="Z33" t="s">
        <v>1684</v>
      </c>
      <c r="AA33" t="s">
        <v>144</v>
      </c>
      <c r="AB33">
        <v>23</v>
      </c>
      <c r="AC33">
        <v>4</v>
      </c>
      <c r="AE33">
        <v>149</v>
      </c>
      <c r="AH33" t="s">
        <v>41</v>
      </c>
    </row>
    <row r="34" spans="1:34" x14ac:dyDescent="0.25">
      <c r="A34">
        <v>33</v>
      </c>
      <c r="B34" s="5">
        <v>638732801</v>
      </c>
      <c r="C34" s="5">
        <v>82400382776</v>
      </c>
      <c r="D34">
        <v>3835</v>
      </c>
      <c r="E34" s="1" t="s">
        <v>1688</v>
      </c>
      <c r="F34" t="s">
        <v>145</v>
      </c>
      <c r="G34" t="s">
        <v>146</v>
      </c>
      <c r="H34">
        <v>30119</v>
      </c>
      <c r="I34">
        <v>46700628</v>
      </c>
      <c r="L34" s="2">
        <v>42400</v>
      </c>
      <c r="M34" s="3">
        <f t="shared" si="0"/>
        <v>2016</v>
      </c>
      <c r="N34" s="2">
        <v>43105</v>
      </c>
      <c r="O34">
        <v>217</v>
      </c>
      <c r="P34" s="6">
        <v>20218</v>
      </c>
      <c r="Q34">
        <v>10109</v>
      </c>
      <c r="R34">
        <v>4043.6000000000004</v>
      </c>
      <c r="S34">
        <v>264</v>
      </c>
      <c r="T34" s="6">
        <v>729.12</v>
      </c>
      <c r="U34" t="s">
        <v>68</v>
      </c>
      <c r="V34" t="s">
        <v>1686</v>
      </c>
      <c r="W34" t="s">
        <v>1681</v>
      </c>
      <c r="X34" t="s">
        <v>1683</v>
      </c>
      <c r="Y34" t="s">
        <v>1679</v>
      </c>
      <c r="Z34" t="s">
        <v>1684</v>
      </c>
      <c r="AA34" t="s">
        <v>147</v>
      </c>
      <c r="AB34">
        <v>80</v>
      </c>
      <c r="AC34">
        <v>17</v>
      </c>
      <c r="AE34">
        <v>68</v>
      </c>
      <c r="AH34" t="s">
        <v>41</v>
      </c>
    </row>
    <row r="35" spans="1:34" x14ac:dyDescent="0.25">
      <c r="A35">
        <v>34</v>
      </c>
      <c r="B35" s="5">
        <v>338306501</v>
      </c>
      <c r="C35" s="5">
        <v>46184061397</v>
      </c>
      <c r="D35">
        <v>6053</v>
      </c>
      <c r="E35" s="1" t="s">
        <v>1688</v>
      </c>
      <c r="F35" t="s">
        <v>148</v>
      </c>
      <c r="G35" t="s">
        <v>149</v>
      </c>
      <c r="H35">
        <v>34903</v>
      </c>
      <c r="I35">
        <v>32410076</v>
      </c>
      <c r="L35" s="2">
        <v>41511</v>
      </c>
      <c r="M35" s="3">
        <f t="shared" si="0"/>
        <v>2013</v>
      </c>
      <c r="N35" s="2" t="s">
        <v>28</v>
      </c>
      <c r="O35">
        <v>178</v>
      </c>
      <c r="P35" s="6">
        <v>13652</v>
      </c>
      <c r="Q35">
        <v>6826</v>
      </c>
      <c r="R35">
        <v>2730.4</v>
      </c>
      <c r="S35">
        <v>220</v>
      </c>
      <c r="T35" s="6">
        <v>598.07999999999993</v>
      </c>
      <c r="U35" t="s">
        <v>150</v>
      </c>
      <c r="V35" t="s">
        <v>1680</v>
      </c>
      <c r="W35" t="s">
        <v>1674</v>
      </c>
      <c r="X35" t="s">
        <v>1675</v>
      </c>
      <c r="Y35" t="s">
        <v>61</v>
      </c>
      <c r="Z35" t="s">
        <v>1684</v>
      </c>
      <c r="AA35" t="s">
        <v>151</v>
      </c>
      <c r="AB35">
        <v>55</v>
      </c>
      <c r="AC35">
        <v>47</v>
      </c>
      <c r="AE35">
        <v>113</v>
      </c>
      <c r="AH35" t="s">
        <v>31</v>
      </c>
    </row>
    <row r="36" spans="1:34" x14ac:dyDescent="0.25">
      <c r="A36">
        <v>35</v>
      </c>
      <c r="B36" s="5">
        <v>886501538</v>
      </c>
      <c r="C36" s="5">
        <v>87024456799</v>
      </c>
      <c r="D36">
        <v>1949</v>
      </c>
      <c r="E36" s="1" t="s">
        <v>1688</v>
      </c>
      <c r="F36" t="s">
        <v>152</v>
      </c>
      <c r="G36" t="s">
        <v>153</v>
      </c>
      <c r="H36">
        <v>28206</v>
      </c>
      <c r="I36">
        <v>36029684</v>
      </c>
      <c r="L36" s="2">
        <v>39047</v>
      </c>
      <c r="M36" s="3">
        <f t="shared" si="0"/>
        <v>2006</v>
      </c>
      <c r="N36" s="2" t="s">
        <v>28</v>
      </c>
      <c r="O36">
        <v>167</v>
      </c>
      <c r="P36" s="6">
        <v>10078</v>
      </c>
      <c r="Q36">
        <v>5039</v>
      </c>
      <c r="R36">
        <v>2015.6000000000001</v>
      </c>
      <c r="S36">
        <v>198</v>
      </c>
      <c r="T36" s="6">
        <v>561.12</v>
      </c>
      <c r="U36" t="s">
        <v>44</v>
      </c>
      <c r="V36" t="s">
        <v>1682</v>
      </c>
      <c r="W36" t="s">
        <v>1681</v>
      </c>
      <c r="X36" t="s">
        <v>1683</v>
      </c>
      <c r="Y36" t="s">
        <v>1679</v>
      </c>
      <c r="Z36" t="s">
        <v>1684</v>
      </c>
      <c r="AA36" t="s">
        <v>154</v>
      </c>
      <c r="AB36">
        <v>109</v>
      </c>
      <c r="AC36">
        <v>46</v>
      </c>
      <c r="AE36">
        <v>84</v>
      </c>
      <c r="AH36" t="s">
        <v>41</v>
      </c>
    </row>
    <row r="37" spans="1:34" x14ac:dyDescent="0.25">
      <c r="A37">
        <v>36</v>
      </c>
      <c r="B37" s="5">
        <v>534850026</v>
      </c>
      <c r="C37" s="5">
        <v>32131215034</v>
      </c>
      <c r="D37">
        <v>5928</v>
      </c>
      <c r="E37" s="1" t="s">
        <v>1689</v>
      </c>
      <c r="F37" t="s">
        <v>155</v>
      </c>
      <c r="G37" t="s">
        <v>156</v>
      </c>
      <c r="H37">
        <v>26165</v>
      </c>
      <c r="I37">
        <v>47497691</v>
      </c>
      <c r="L37" s="2">
        <v>34597</v>
      </c>
      <c r="M37" s="3">
        <f t="shared" si="0"/>
        <v>1994</v>
      </c>
      <c r="N37" s="2" t="s">
        <v>28</v>
      </c>
      <c r="O37">
        <v>238</v>
      </c>
      <c r="P37" s="6">
        <v>19456</v>
      </c>
      <c r="Q37">
        <v>9728</v>
      </c>
      <c r="R37">
        <v>3891.2000000000003</v>
      </c>
      <c r="S37">
        <v>286</v>
      </c>
      <c r="T37" s="6">
        <v>799.68</v>
      </c>
      <c r="U37" t="s">
        <v>157</v>
      </c>
      <c r="V37" t="s">
        <v>1682</v>
      </c>
      <c r="W37" t="s">
        <v>1687</v>
      </c>
      <c r="X37" t="s">
        <v>1683</v>
      </c>
      <c r="Y37" t="s">
        <v>1679</v>
      </c>
      <c r="Z37" t="s">
        <v>1684</v>
      </c>
      <c r="AA37" t="s">
        <v>158</v>
      </c>
      <c r="AB37">
        <v>22</v>
      </c>
      <c r="AC37">
        <v>49</v>
      </c>
      <c r="AE37">
        <v>185</v>
      </c>
      <c r="AH37" t="s">
        <v>98</v>
      </c>
    </row>
    <row r="38" spans="1:34" x14ac:dyDescent="0.25">
      <c r="A38">
        <v>37</v>
      </c>
      <c r="B38" s="5">
        <v>616461796</v>
      </c>
      <c r="C38" s="5">
        <v>55367561228</v>
      </c>
      <c r="D38">
        <v>4178</v>
      </c>
      <c r="E38" s="1" t="s">
        <v>1688</v>
      </c>
      <c r="F38" t="s">
        <v>159</v>
      </c>
      <c r="G38" t="s">
        <v>160</v>
      </c>
      <c r="H38">
        <v>28547</v>
      </c>
      <c r="I38">
        <v>44716292</v>
      </c>
      <c r="L38" s="2">
        <v>42702</v>
      </c>
      <c r="M38" s="3">
        <f t="shared" si="0"/>
        <v>2016</v>
      </c>
      <c r="N38" s="2" t="s">
        <v>28</v>
      </c>
      <c r="O38">
        <v>161</v>
      </c>
      <c r="P38" s="6">
        <v>3398</v>
      </c>
      <c r="Q38">
        <v>1699</v>
      </c>
      <c r="R38">
        <v>679.6</v>
      </c>
      <c r="S38">
        <v>242</v>
      </c>
      <c r="T38" s="6">
        <v>540.96</v>
      </c>
      <c r="U38" t="s">
        <v>64</v>
      </c>
      <c r="V38" t="s">
        <v>1682</v>
      </c>
      <c r="W38" t="s">
        <v>1685</v>
      </c>
      <c r="X38" t="s">
        <v>1683</v>
      </c>
      <c r="Y38" t="s">
        <v>1679</v>
      </c>
      <c r="Z38" t="s">
        <v>1684</v>
      </c>
      <c r="AA38" t="s">
        <v>161</v>
      </c>
      <c r="AB38">
        <v>117</v>
      </c>
      <c r="AC38">
        <v>25</v>
      </c>
      <c r="AE38">
        <v>120</v>
      </c>
      <c r="AH38" t="s">
        <v>57</v>
      </c>
    </row>
    <row r="39" spans="1:34" x14ac:dyDescent="0.25">
      <c r="A39">
        <v>38</v>
      </c>
      <c r="B39" s="5">
        <v>140108816</v>
      </c>
      <c r="C39" s="5">
        <v>37388100360</v>
      </c>
      <c r="D39">
        <v>4063</v>
      </c>
      <c r="E39" s="1" t="s">
        <v>1689</v>
      </c>
      <c r="F39" t="s">
        <v>162</v>
      </c>
      <c r="G39" t="s">
        <v>163</v>
      </c>
      <c r="H39">
        <v>34818</v>
      </c>
      <c r="I39">
        <v>24394828</v>
      </c>
      <c r="L39" s="2">
        <v>41388</v>
      </c>
      <c r="M39" s="3">
        <f t="shared" si="0"/>
        <v>2013</v>
      </c>
      <c r="N39" s="2" t="s">
        <v>28</v>
      </c>
      <c r="O39">
        <v>241</v>
      </c>
      <c r="P39" s="6">
        <v>17475</v>
      </c>
      <c r="Q39">
        <v>8737.5</v>
      </c>
      <c r="R39">
        <v>3495</v>
      </c>
      <c r="S39">
        <v>176</v>
      </c>
      <c r="T39" s="6">
        <v>809.76</v>
      </c>
      <c r="U39" t="s">
        <v>164</v>
      </c>
      <c r="V39" t="s">
        <v>1677</v>
      </c>
      <c r="W39" t="s">
        <v>1674</v>
      </c>
      <c r="X39" t="s">
        <v>1675</v>
      </c>
      <c r="Y39" t="s">
        <v>1679</v>
      </c>
      <c r="Z39" t="s">
        <v>1680</v>
      </c>
      <c r="AA39" t="s">
        <v>165</v>
      </c>
      <c r="AB39">
        <v>36</v>
      </c>
      <c r="AC39">
        <v>31</v>
      </c>
      <c r="AE39">
        <v>173</v>
      </c>
      <c r="AH39" t="s">
        <v>31</v>
      </c>
    </row>
    <row r="40" spans="1:34" x14ac:dyDescent="0.25">
      <c r="A40">
        <v>39</v>
      </c>
      <c r="B40" s="5">
        <v>498013065</v>
      </c>
      <c r="C40" s="5">
        <v>38444377165</v>
      </c>
      <c r="D40">
        <v>6483</v>
      </c>
      <c r="E40" s="1" t="s">
        <v>1689</v>
      </c>
      <c r="F40" t="s">
        <v>166</v>
      </c>
      <c r="G40" t="s">
        <v>167</v>
      </c>
      <c r="H40">
        <v>32112</v>
      </c>
      <c r="I40">
        <v>38928294</v>
      </c>
      <c r="L40" s="2">
        <v>38682</v>
      </c>
      <c r="M40" s="3">
        <f t="shared" si="0"/>
        <v>2005</v>
      </c>
      <c r="N40" s="2" t="s">
        <v>28</v>
      </c>
      <c r="O40">
        <v>222</v>
      </c>
      <c r="P40" s="6">
        <v>14468</v>
      </c>
      <c r="Q40">
        <v>7234</v>
      </c>
      <c r="R40">
        <v>2893.6000000000004</v>
      </c>
      <c r="S40">
        <v>308</v>
      </c>
      <c r="T40" s="6">
        <v>745.92000000000007</v>
      </c>
      <c r="U40" t="s">
        <v>168</v>
      </c>
      <c r="V40" t="s">
        <v>1677</v>
      </c>
      <c r="W40" t="s">
        <v>1687</v>
      </c>
      <c r="X40" t="s">
        <v>1675</v>
      </c>
      <c r="Y40" t="s">
        <v>1679</v>
      </c>
      <c r="Z40" t="s">
        <v>1680</v>
      </c>
      <c r="AA40" t="s">
        <v>169</v>
      </c>
      <c r="AB40">
        <v>139</v>
      </c>
      <c r="AC40">
        <v>60</v>
      </c>
      <c r="AE40">
        <v>39</v>
      </c>
      <c r="AH40" t="s">
        <v>98</v>
      </c>
    </row>
    <row r="41" spans="1:34" x14ac:dyDescent="0.25">
      <c r="A41">
        <v>40</v>
      </c>
      <c r="B41" s="5">
        <v>379781785</v>
      </c>
      <c r="C41" s="5">
        <v>26777450157</v>
      </c>
      <c r="D41">
        <v>6958</v>
      </c>
      <c r="E41" s="1" t="s">
        <v>1688</v>
      </c>
      <c r="F41" t="s">
        <v>170</v>
      </c>
      <c r="G41" t="s">
        <v>171</v>
      </c>
      <c r="H41">
        <v>31885</v>
      </c>
      <c r="I41">
        <v>44017250</v>
      </c>
      <c r="L41" s="2">
        <v>38497</v>
      </c>
      <c r="M41" s="3">
        <f t="shared" si="0"/>
        <v>2005</v>
      </c>
      <c r="N41" s="2">
        <v>39066</v>
      </c>
      <c r="O41">
        <v>185</v>
      </c>
      <c r="P41" s="6">
        <v>7129</v>
      </c>
      <c r="Q41">
        <v>3564.5</v>
      </c>
      <c r="R41">
        <v>1425.8000000000002</v>
      </c>
      <c r="S41">
        <v>264</v>
      </c>
      <c r="T41" s="6">
        <v>621.6</v>
      </c>
      <c r="U41" t="s">
        <v>172</v>
      </c>
      <c r="V41" t="s">
        <v>1686</v>
      </c>
      <c r="W41" t="s">
        <v>1674</v>
      </c>
      <c r="X41" t="s">
        <v>1683</v>
      </c>
      <c r="Y41" t="s">
        <v>1679</v>
      </c>
      <c r="Z41" t="s">
        <v>1684</v>
      </c>
      <c r="AA41" t="s">
        <v>173</v>
      </c>
      <c r="AB41">
        <v>79</v>
      </c>
      <c r="AC41">
        <v>36</v>
      </c>
      <c r="AE41">
        <v>2</v>
      </c>
      <c r="AH41" t="s">
        <v>31</v>
      </c>
    </row>
    <row r="42" spans="1:34" x14ac:dyDescent="0.25">
      <c r="A42">
        <v>41</v>
      </c>
      <c r="B42" s="5">
        <v>580043821</v>
      </c>
      <c r="C42" s="5">
        <v>53345652611</v>
      </c>
      <c r="D42">
        <v>6765</v>
      </c>
      <c r="E42" s="1" t="s">
        <v>1688</v>
      </c>
      <c r="F42" t="s">
        <v>174</v>
      </c>
      <c r="G42" t="s">
        <v>175</v>
      </c>
      <c r="H42">
        <v>27415</v>
      </c>
      <c r="I42">
        <v>20731360</v>
      </c>
      <c r="L42" s="2">
        <v>40881</v>
      </c>
      <c r="M42" s="3">
        <f t="shared" si="0"/>
        <v>2011</v>
      </c>
      <c r="N42" s="2">
        <v>42676</v>
      </c>
      <c r="O42">
        <v>247</v>
      </c>
      <c r="P42" s="6">
        <v>16386</v>
      </c>
      <c r="Q42">
        <v>8193</v>
      </c>
      <c r="R42">
        <v>3277.2000000000003</v>
      </c>
      <c r="S42">
        <v>198</v>
      </c>
      <c r="T42" s="6">
        <v>829.92000000000007</v>
      </c>
      <c r="U42" t="s">
        <v>157</v>
      </c>
      <c r="V42" t="s">
        <v>1682</v>
      </c>
      <c r="W42" t="s">
        <v>1687</v>
      </c>
      <c r="X42" t="s">
        <v>1683</v>
      </c>
      <c r="Y42" t="s">
        <v>1679</v>
      </c>
      <c r="Z42" t="s">
        <v>1684</v>
      </c>
      <c r="AA42" t="s">
        <v>176</v>
      </c>
      <c r="AB42">
        <v>95</v>
      </c>
      <c r="AC42">
        <v>15</v>
      </c>
      <c r="AE42">
        <v>63</v>
      </c>
      <c r="AH42" t="s">
        <v>98</v>
      </c>
    </row>
    <row r="43" spans="1:34" x14ac:dyDescent="0.25">
      <c r="A43">
        <v>42</v>
      </c>
      <c r="B43" s="5">
        <v>743920592</v>
      </c>
      <c r="C43" s="5">
        <v>13672177381</v>
      </c>
      <c r="D43">
        <v>2469</v>
      </c>
      <c r="E43" s="1" t="s">
        <v>1689</v>
      </c>
      <c r="F43" t="s">
        <v>177</v>
      </c>
      <c r="G43" t="s">
        <v>178</v>
      </c>
      <c r="H43">
        <v>31810</v>
      </c>
      <c r="I43">
        <v>38162448</v>
      </c>
      <c r="L43" s="2">
        <v>38380</v>
      </c>
      <c r="M43" s="3">
        <f t="shared" si="0"/>
        <v>2005</v>
      </c>
      <c r="N43" s="2">
        <v>39626</v>
      </c>
      <c r="O43">
        <v>184</v>
      </c>
      <c r="P43" s="6">
        <v>16167</v>
      </c>
      <c r="Q43">
        <v>8083.5</v>
      </c>
      <c r="R43">
        <v>3233.4</v>
      </c>
      <c r="S43">
        <v>264</v>
      </c>
      <c r="T43" s="6">
        <v>618.24</v>
      </c>
      <c r="U43" t="s">
        <v>44</v>
      </c>
      <c r="V43" t="s">
        <v>1682</v>
      </c>
      <c r="W43" t="s">
        <v>1681</v>
      </c>
      <c r="X43" t="s">
        <v>1683</v>
      </c>
      <c r="Y43" t="s">
        <v>1679</v>
      </c>
      <c r="Z43" t="s">
        <v>1684</v>
      </c>
      <c r="AA43" t="s">
        <v>179</v>
      </c>
      <c r="AB43">
        <v>104</v>
      </c>
      <c r="AC43">
        <v>25</v>
      </c>
      <c r="AE43">
        <v>25</v>
      </c>
      <c r="AH43" t="s">
        <v>41</v>
      </c>
    </row>
    <row r="44" spans="1:34" x14ac:dyDescent="0.25">
      <c r="A44">
        <v>43</v>
      </c>
      <c r="B44" s="5">
        <v>233651794</v>
      </c>
      <c r="C44" s="5">
        <v>69598912741</v>
      </c>
      <c r="D44">
        <v>2982</v>
      </c>
      <c r="E44" s="1" t="s">
        <v>1688</v>
      </c>
      <c r="F44" t="s">
        <v>180</v>
      </c>
      <c r="G44" t="s">
        <v>181</v>
      </c>
      <c r="H44">
        <v>29948</v>
      </c>
      <c r="I44">
        <v>20491947</v>
      </c>
      <c r="L44" s="2">
        <v>37904</v>
      </c>
      <c r="M44" s="3">
        <f t="shared" si="0"/>
        <v>2003</v>
      </c>
      <c r="N44" s="2">
        <v>39045</v>
      </c>
      <c r="O44">
        <v>239</v>
      </c>
      <c r="P44" s="6">
        <v>3319</v>
      </c>
      <c r="Q44">
        <v>1659.5</v>
      </c>
      <c r="R44">
        <v>663.80000000000007</v>
      </c>
      <c r="S44">
        <v>308</v>
      </c>
      <c r="T44" s="6">
        <v>803.04</v>
      </c>
      <c r="U44" t="s">
        <v>78</v>
      </c>
      <c r="V44" t="s">
        <v>1680</v>
      </c>
      <c r="W44" t="s">
        <v>1678</v>
      </c>
      <c r="X44" t="s">
        <v>1675</v>
      </c>
      <c r="Y44" t="s">
        <v>61</v>
      </c>
      <c r="Z44" t="s">
        <v>1676</v>
      </c>
      <c r="AA44" t="s">
        <v>182</v>
      </c>
      <c r="AB44">
        <v>95</v>
      </c>
      <c r="AC44">
        <v>0</v>
      </c>
      <c r="AE44">
        <v>53</v>
      </c>
      <c r="AH44" t="s">
        <v>36</v>
      </c>
    </row>
    <row r="45" spans="1:34" x14ac:dyDescent="0.25">
      <c r="A45">
        <v>44</v>
      </c>
      <c r="B45" s="5">
        <v>531613877</v>
      </c>
      <c r="C45" s="3">
        <v>5343014627</v>
      </c>
      <c r="D45">
        <v>2090</v>
      </c>
      <c r="E45" s="1" t="s">
        <v>1688</v>
      </c>
      <c r="F45" t="s">
        <v>183</v>
      </c>
      <c r="G45" t="s">
        <v>184</v>
      </c>
      <c r="H45">
        <v>29832</v>
      </c>
      <c r="I45">
        <v>39852094</v>
      </c>
      <c r="L45" s="2">
        <v>39957</v>
      </c>
      <c r="M45" s="3">
        <f t="shared" si="0"/>
        <v>2009</v>
      </c>
      <c r="N45" s="2" t="s">
        <v>28</v>
      </c>
      <c r="O45">
        <v>219</v>
      </c>
      <c r="P45" s="6">
        <v>17930</v>
      </c>
      <c r="Q45">
        <v>8965</v>
      </c>
      <c r="R45">
        <v>3586</v>
      </c>
      <c r="S45">
        <v>308</v>
      </c>
      <c r="T45" s="6">
        <v>735.84</v>
      </c>
      <c r="U45" t="s">
        <v>164</v>
      </c>
      <c r="V45" t="s">
        <v>1677</v>
      </c>
      <c r="W45" t="s">
        <v>1674</v>
      </c>
      <c r="X45" t="s">
        <v>1675</v>
      </c>
      <c r="Y45" t="s">
        <v>1679</v>
      </c>
      <c r="Z45" t="s">
        <v>1680</v>
      </c>
      <c r="AA45" t="s">
        <v>185</v>
      </c>
      <c r="AB45">
        <v>75</v>
      </c>
      <c r="AC45">
        <v>56</v>
      </c>
      <c r="AE45">
        <v>152</v>
      </c>
      <c r="AH45" t="s">
        <v>31</v>
      </c>
    </row>
    <row r="46" spans="1:34" x14ac:dyDescent="0.25">
      <c r="A46">
        <v>45</v>
      </c>
      <c r="B46" s="5">
        <v>971638278</v>
      </c>
      <c r="C46" s="5">
        <v>97612583834</v>
      </c>
      <c r="D46">
        <v>5360</v>
      </c>
      <c r="E46" s="1" t="s">
        <v>1688</v>
      </c>
      <c r="F46" t="s">
        <v>186</v>
      </c>
      <c r="G46" t="s">
        <v>187</v>
      </c>
      <c r="H46">
        <v>34087</v>
      </c>
      <c r="I46">
        <v>29254981</v>
      </c>
      <c r="L46" s="2">
        <v>40657</v>
      </c>
      <c r="M46" s="3">
        <f t="shared" si="0"/>
        <v>2011</v>
      </c>
      <c r="N46" s="2" t="s">
        <v>28</v>
      </c>
      <c r="O46">
        <v>155</v>
      </c>
      <c r="P46" s="6">
        <v>3374</v>
      </c>
      <c r="Q46">
        <v>1687</v>
      </c>
      <c r="R46">
        <v>674.80000000000007</v>
      </c>
      <c r="S46">
        <v>286</v>
      </c>
      <c r="T46" s="6">
        <v>520.80000000000007</v>
      </c>
      <c r="U46" t="s">
        <v>157</v>
      </c>
      <c r="V46" t="s">
        <v>1682</v>
      </c>
      <c r="W46" t="s">
        <v>1687</v>
      </c>
      <c r="X46" t="s">
        <v>1683</v>
      </c>
      <c r="Y46" t="s">
        <v>1679</v>
      </c>
      <c r="Z46" t="s">
        <v>1684</v>
      </c>
      <c r="AA46" t="s">
        <v>188</v>
      </c>
      <c r="AB46">
        <v>100</v>
      </c>
      <c r="AC46">
        <v>55</v>
      </c>
      <c r="AE46">
        <v>142</v>
      </c>
      <c r="AH46" t="s">
        <v>98</v>
      </c>
    </row>
    <row r="47" spans="1:34" x14ac:dyDescent="0.25">
      <c r="A47">
        <v>46</v>
      </c>
      <c r="B47" s="5">
        <v>403255556</v>
      </c>
      <c r="C47" s="5">
        <v>90743788681</v>
      </c>
      <c r="D47">
        <v>6041</v>
      </c>
      <c r="E47" s="1" t="s">
        <v>1688</v>
      </c>
      <c r="F47" t="s">
        <v>189</v>
      </c>
      <c r="G47" t="s">
        <v>190</v>
      </c>
      <c r="H47">
        <v>25899</v>
      </c>
      <c r="I47">
        <v>28601966</v>
      </c>
      <c r="L47" s="2">
        <v>37370</v>
      </c>
      <c r="M47" s="3">
        <f t="shared" si="0"/>
        <v>2002</v>
      </c>
      <c r="N47" s="2" t="s">
        <v>28</v>
      </c>
      <c r="O47">
        <v>187</v>
      </c>
      <c r="P47" s="6">
        <v>20030</v>
      </c>
      <c r="Q47">
        <v>10015</v>
      </c>
      <c r="R47">
        <v>4006</v>
      </c>
      <c r="S47">
        <v>308</v>
      </c>
      <c r="T47" s="6">
        <v>628.32000000000005</v>
      </c>
      <c r="U47" t="s">
        <v>120</v>
      </c>
      <c r="V47" t="s">
        <v>1673</v>
      </c>
      <c r="W47" t="s">
        <v>1681</v>
      </c>
      <c r="X47" t="s">
        <v>1675</v>
      </c>
      <c r="Y47" t="s">
        <v>61</v>
      </c>
      <c r="Z47" t="s">
        <v>1676</v>
      </c>
      <c r="AA47" t="s">
        <v>191</v>
      </c>
      <c r="AB47">
        <v>77</v>
      </c>
      <c r="AC47">
        <v>21</v>
      </c>
      <c r="AE47">
        <v>81</v>
      </c>
      <c r="AH47" t="s">
        <v>41</v>
      </c>
    </row>
    <row r="48" spans="1:34" x14ac:dyDescent="0.25">
      <c r="A48">
        <v>47</v>
      </c>
      <c r="B48" s="5">
        <v>337580360</v>
      </c>
      <c r="C48" s="5">
        <v>96251016348</v>
      </c>
      <c r="D48">
        <v>1707</v>
      </c>
      <c r="E48" s="1" t="s">
        <v>1689</v>
      </c>
      <c r="F48" t="s">
        <v>192</v>
      </c>
      <c r="G48" t="s">
        <v>193</v>
      </c>
      <c r="H48">
        <v>29961</v>
      </c>
      <c r="I48">
        <v>38756804</v>
      </c>
      <c r="L48" s="2">
        <v>36531</v>
      </c>
      <c r="M48" s="3">
        <f t="shared" si="0"/>
        <v>2000</v>
      </c>
      <c r="N48" s="2" t="s">
        <v>28</v>
      </c>
      <c r="O48">
        <v>232</v>
      </c>
      <c r="P48" s="6">
        <v>7480</v>
      </c>
      <c r="Q48">
        <v>3740</v>
      </c>
      <c r="R48">
        <v>1496</v>
      </c>
      <c r="S48">
        <v>264</v>
      </c>
      <c r="T48" s="6">
        <v>779.52</v>
      </c>
      <c r="U48" t="s">
        <v>172</v>
      </c>
      <c r="V48" t="s">
        <v>1686</v>
      </c>
      <c r="W48" t="s">
        <v>1674</v>
      </c>
      <c r="X48" t="s">
        <v>1683</v>
      </c>
      <c r="Y48" t="s">
        <v>1679</v>
      </c>
      <c r="Z48" t="s">
        <v>1684</v>
      </c>
      <c r="AA48" t="s">
        <v>194</v>
      </c>
      <c r="AB48">
        <v>127</v>
      </c>
      <c r="AC48">
        <v>0</v>
      </c>
      <c r="AE48">
        <v>156</v>
      </c>
      <c r="AH48" t="s">
        <v>31</v>
      </c>
    </row>
    <row r="49" spans="1:34" x14ac:dyDescent="0.25">
      <c r="A49">
        <v>48</v>
      </c>
      <c r="B49" s="5">
        <v>993311564</v>
      </c>
      <c r="C49" s="5">
        <v>82554147473</v>
      </c>
      <c r="D49">
        <v>7520</v>
      </c>
      <c r="E49" s="1" t="s">
        <v>1689</v>
      </c>
      <c r="F49" t="s">
        <v>195</v>
      </c>
      <c r="G49" t="s">
        <v>196</v>
      </c>
      <c r="H49">
        <v>35709</v>
      </c>
      <c r="I49">
        <v>20268909</v>
      </c>
      <c r="L49" s="2">
        <v>42279</v>
      </c>
      <c r="M49" s="3">
        <f t="shared" si="0"/>
        <v>2015</v>
      </c>
      <c r="N49" s="2" t="s">
        <v>28</v>
      </c>
      <c r="O49">
        <v>247</v>
      </c>
      <c r="P49" s="6">
        <v>3947</v>
      </c>
      <c r="Q49">
        <v>1973.5</v>
      </c>
      <c r="R49">
        <v>789.40000000000009</v>
      </c>
      <c r="S49">
        <v>176</v>
      </c>
      <c r="T49" s="6">
        <v>829.92000000000007</v>
      </c>
      <c r="U49" t="s">
        <v>82</v>
      </c>
      <c r="V49" t="s">
        <v>1677</v>
      </c>
      <c r="W49" t="s">
        <v>1685</v>
      </c>
      <c r="X49" t="s">
        <v>1675</v>
      </c>
      <c r="Y49" t="s">
        <v>1679</v>
      </c>
      <c r="Z49" t="s">
        <v>1680</v>
      </c>
      <c r="AA49" t="s">
        <v>197</v>
      </c>
      <c r="AB49">
        <v>67</v>
      </c>
      <c r="AC49">
        <v>16</v>
      </c>
      <c r="AE49">
        <v>160</v>
      </c>
      <c r="AH49" t="s">
        <v>57</v>
      </c>
    </row>
    <row r="50" spans="1:34" x14ac:dyDescent="0.25">
      <c r="A50">
        <v>49</v>
      </c>
      <c r="B50" s="5">
        <v>229987650</v>
      </c>
      <c r="C50" s="5">
        <v>96835281373</v>
      </c>
      <c r="D50">
        <v>6444</v>
      </c>
      <c r="E50" s="1" t="s">
        <v>1688</v>
      </c>
      <c r="F50" t="s">
        <v>198</v>
      </c>
      <c r="G50" t="s">
        <v>199</v>
      </c>
      <c r="H50">
        <v>33065</v>
      </c>
      <c r="I50">
        <v>30671573</v>
      </c>
      <c r="L50" s="2">
        <v>39635</v>
      </c>
      <c r="M50" s="3">
        <f t="shared" si="0"/>
        <v>2008</v>
      </c>
      <c r="N50" s="2" t="s">
        <v>28</v>
      </c>
      <c r="O50">
        <v>151</v>
      </c>
      <c r="P50" s="6">
        <v>24509</v>
      </c>
      <c r="Q50">
        <v>12254.5</v>
      </c>
      <c r="R50">
        <v>4901.8</v>
      </c>
      <c r="S50">
        <v>154</v>
      </c>
      <c r="T50" s="6">
        <v>507.36</v>
      </c>
      <c r="U50" t="s">
        <v>55</v>
      </c>
      <c r="V50" t="s">
        <v>1673</v>
      </c>
      <c r="W50" t="s">
        <v>1685</v>
      </c>
      <c r="X50" t="s">
        <v>1675</v>
      </c>
      <c r="Y50" t="s">
        <v>61</v>
      </c>
      <c r="Z50" t="s">
        <v>1676</v>
      </c>
      <c r="AA50" t="s">
        <v>200</v>
      </c>
      <c r="AB50">
        <v>120</v>
      </c>
      <c r="AC50">
        <v>50</v>
      </c>
      <c r="AE50">
        <v>142</v>
      </c>
      <c r="AH50" t="s">
        <v>57</v>
      </c>
    </row>
    <row r="51" spans="1:34" x14ac:dyDescent="0.25">
      <c r="A51">
        <v>50</v>
      </c>
      <c r="B51" s="5">
        <v>885637441</v>
      </c>
      <c r="C51" s="5">
        <v>27461461679</v>
      </c>
      <c r="D51">
        <v>4466</v>
      </c>
      <c r="E51" s="1" t="s">
        <v>1689</v>
      </c>
      <c r="F51" t="s">
        <v>201</v>
      </c>
      <c r="G51" t="s">
        <v>202</v>
      </c>
      <c r="H51">
        <v>28135</v>
      </c>
      <c r="I51">
        <v>33558620</v>
      </c>
      <c r="L51" s="2">
        <v>38598</v>
      </c>
      <c r="M51" s="3">
        <f t="shared" si="0"/>
        <v>2005</v>
      </c>
      <c r="N51" s="2">
        <v>39522</v>
      </c>
      <c r="O51">
        <v>153</v>
      </c>
      <c r="P51" s="6">
        <v>12394</v>
      </c>
      <c r="Q51">
        <v>6197</v>
      </c>
      <c r="R51">
        <v>2478.8000000000002</v>
      </c>
      <c r="S51">
        <v>220</v>
      </c>
      <c r="T51" s="6">
        <v>514.07999999999993</v>
      </c>
      <c r="U51" t="s">
        <v>55</v>
      </c>
      <c r="V51" t="s">
        <v>1673</v>
      </c>
      <c r="W51" t="s">
        <v>1685</v>
      </c>
      <c r="X51" t="s">
        <v>1675</v>
      </c>
      <c r="Y51" t="s">
        <v>61</v>
      </c>
      <c r="Z51" t="s">
        <v>1676</v>
      </c>
      <c r="AA51" t="s">
        <v>203</v>
      </c>
      <c r="AB51">
        <v>34</v>
      </c>
      <c r="AC51">
        <v>40</v>
      </c>
      <c r="AE51">
        <v>77</v>
      </c>
      <c r="AH51" t="s">
        <v>57</v>
      </c>
    </row>
    <row r="52" spans="1:34" x14ac:dyDescent="0.25">
      <c r="A52">
        <v>51</v>
      </c>
      <c r="B52" s="5">
        <v>173470428</v>
      </c>
      <c r="C52" s="5">
        <v>60565008263</v>
      </c>
      <c r="D52">
        <v>7094</v>
      </c>
      <c r="E52" s="1" t="s">
        <v>1689</v>
      </c>
      <c r="F52" t="s">
        <v>204</v>
      </c>
      <c r="G52" t="s">
        <v>205</v>
      </c>
      <c r="H52">
        <v>30682</v>
      </c>
      <c r="I52">
        <v>23294683</v>
      </c>
      <c r="L52" s="2">
        <v>41426</v>
      </c>
      <c r="M52" s="3">
        <f t="shared" si="0"/>
        <v>2013</v>
      </c>
      <c r="N52" s="2" t="s">
        <v>28</v>
      </c>
      <c r="O52">
        <v>238</v>
      </c>
      <c r="P52" s="6">
        <v>12832</v>
      </c>
      <c r="Q52">
        <v>6416</v>
      </c>
      <c r="R52">
        <v>2566.4</v>
      </c>
      <c r="S52">
        <v>242</v>
      </c>
      <c r="T52" s="6">
        <v>799.68</v>
      </c>
      <c r="U52" t="s">
        <v>39</v>
      </c>
      <c r="V52" t="s">
        <v>1677</v>
      </c>
      <c r="W52" t="s">
        <v>1681</v>
      </c>
      <c r="X52" t="s">
        <v>1675</v>
      </c>
      <c r="Y52" t="s">
        <v>1679</v>
      </c>
      <c r="Z52" t="s">
        <v>1680</v>
      </c>
      <c r="AA52" t="s">
        <v>206</v>
      </c>
      <c r="AB52">
        <v>126</v>
      </c>
      <c r="AC52">
        <v>14</v>
      </c>
      <c r="AE52">
        <v>44</v>
      </c>
      <c r="AH52" t="s">
        <v>41</v>
      </c>
    </row>
    <row r="53" spans="1:34" x14ac:dyDescent="0.25">
      <c r="A53">
        <v>52</v>
      </c>
      <c r="B53" s="5">
        <v>752348160</v>
      </c>
      <c r="C53" s="5">
        <v>85198417825</v>
      </c>
      <c r="D53">
        <v>2065</v>
      </c>
      <c r="E53" s="1" t="s">
        <v>1689</v>
      </c>
      <c r="F53" t="s">
        <v>207</v>
      </c>
      <c r="G53" t="s">
        <v>208</v>
      </c>
      <c r="H53">
        <v>29114</v>
      </c>
      <c r="I53">
        <v>43564524</v>
      </c>
      <c r="L53" s="2">
        <v>41948</v>
      </c>
      <c r="M53" s="3">
        <f t="shared" si="0"/>
        <v>2014</v>
      </c>
      <c r="N53" s="2" t="s">
        <v>28</v>
      </c>
      <c r="O53">
        <v>231</v>
      </c>
      <c r="P53" s="6">
        <v>20951</v>
      </c>
      <c r="Q53">
        <v>10475.5</v>
      </c>
      <c r="R53">
        <v>4190.2</v>
      </c>
      <c r="S53">
        <v>308</v>
      </c>
      <c r="T53" s="6">
        <v>776.16</v>
      </c>
      <c r="U53" t="s">
        <v>92</v>
      </c>
      <c r="V53" t="s">
        <v>1686</v>
      </c>
      <c r="W53" t="s">
        <v>1678</v>
      </c>
      <c r="X53" t="s">
        <v>1683</v>
      </c>
      <c r="Y53" t="s">
        <v>1679</v>
      </c>
      <c r="Z53" t="s">
        <v>1684</v>
      </c>
      <c r="AA53" t="s">
        <v>209</v>
      </c>
      <c r="AB53">
        <v>131</v>
      </c>
      <c r="AC53">
        <v>13</v>
      </c>
      <c r="AE53">
        <v>114</v>
      </c>
      <c r="AH53" t="s">
        <v>36</v>
      </c>
    </row>
    <row r="54" spans="1:34" x14ac:dyDescent="0.25">
      <c r="A54">
        <v>53</v>
      </c>
      <c r="B54" s="5">
        <v>613476929</v>
      </c>
      <c r="C54" s="5">
        <v>36847018907</v>
      </c>
      <c r="D54">
        <v>5452</v>
      </c>
      <c r="E54" s="1" t="s">
        <v>1688</v>
      </c>
      <c r="F54" t="s">
        <v>210</v>
      </c>
      <c r="G54" t="s">
        <v>211</v>
      </c>
      <c r="H54">
        <v>29400</v>
      </c>
      <c r="I54">
        <v>41565611</v>
      </c>
      <c r="L54" s="2">
        <v>36621</v>
      </c>
      <c r="M54" s="3">
        <f t="shared" si="0"/>
        <v>2000</v>
      </c>
      <c r="N54" s="2">
        <v>38138</v>
      </c>
      <c r="O54">
        <v>196</v>
      </c>
      <c r="P54" s="6">
        <v>1872</v>
      </c>
      <c r="Q54">
        <v>936</v>
      </c>
      <c r="R54">
        <v>374.40000000000003</v>
      </c>
      <c r="S54">
        <v>242</v>
      </c>
      <c r="T54" s="6">
        <v>658.56</v>
      </c>
      <c r="U54" t="s">
        <v>51</v>
      </c>
      <c r="V54" t="s">
        <v>1682</v>
      </c>
      <c r="W54" t="s">
        <v>1674</v>
      </c>
      <c r="X54" t="s">
        <v>1683</v>
      </c>
      <c r="Y54" t="s">
        <v>1679</v>
      </c>
      <c r="Z54" t="s">
        <v>1684</v>
      </c>
      <c r="AA54" t="s">
        <v>212</v>
      </c>
      <c r="AB54">
        <v>63</v>
      </c>
      <c r="AC54">
        <v>54</v>
      </c>
      <c r="AE54">
        <v>25</v>
      </c>
      <c r="AH54" t="s">
        <v>31</v>
      </c>
    </row>
    <row r="55" spans="1:34" x14ac:dyDescent="0.25">
      <c r="A55">
        <v>54</v>
      </c>
      <c r="B55" s="5">
        <v>289498961</v>
      </c>
      <c r="C55" s="5">
        <v>52374080491</v>
      </c>
      <c r="D55">
        <v>3944</v>
      </c>
      <c r="E55" s="1" t="s">
        <v>1688</v>
      </c>
      <c r="F55" t="s">
        <v>213</v>
      </c>
      <c r="G55" t="s">
        <v>214</v>
      </c>
      <c r="H55">
        <v>34361</v>
      </c>
      <c r="I55">
        <v>30055064</v>
      </c>
      <c r="L55" s="2">
        <v>40931</v>
      </c>
      <c r="M55" s="3">
        <f t="shared" si="0"/>
        <v>2012</v>
      </c>
      <c r="N55" s="2" t="s">
        <v>28</v>
      </c>
      <c r="O55">
        <v>196</v>
      </c>
      <c r="P55" s="6">
        <v>23391</v>
      </c>
      <c r="Q55">
        <v>11695.5</v>
      </c>
      <c r="R55">
        <v>4678.2</v>
      </c>
      <c r="S55">
        <v>220</v>
      </c>
      <c r="T55" s="6">
        <v>658.56</v>
      </c>
      <c r="U55" t="s">
        <v>39</v>
      </c>
      <c r="V55" t="s">
        <v>1677</v>
      </c>
      <c r="W55" t="s">
        <v>1681</v>
      </c>
      <c r="X55" t="s">
        <v>1675</v>
      </c>
      <c r="Y55" t="s">
        <v>1679</v>
      </c>
      <c r="Z55" t="s">
        <v>1680</v>
      </c>
      <c r="AA55" t="s">
        <v>215</v>
      </c>
      <c r="AB55">
        <v>149</v>
      </c>
      <c r="AC55">
        <v>22</v>
      </c>
      <c r="AE55">
        <v>76</v>
      </c>
      <c r="AH55" t="s">
        <v>41</v>
      </c>
    </row>
    <row r="56" spans="1:34" x14ac:dyDescent="0.25">
      <c r="A56">
        <v>55</v>
      </c>
      <c r="B56" s="5">
        <v>471934947</v>
      </c>
      <c r="C56" s="3">
        <v>1072732223</v>
      </c>
      <c r="D56">
        <v>3103</v>
      </c>
      <c r="E56" s="1" t="s">
        <v>1689</v>
      </c>
      <c r="F56" t="s">
        <v>216</v>
      </c>
      <c r="G56" t="s">
        <v>217</v>
      </c>
      <c r="H56">
        <v>33425</v>
      </c>
      <c r="I56">
        <v>24646714</v>
      </c>
      <c r="L56" s="2">
        <v>39995</v>
      </c>
      <c r="M56" s="3">
        <f t="shared" si="0"/>
        <v>2009</v>
      </c>
      <c r="N56" s="2">
        <v>40236</v>
      </c>
      <c r="O56">
        <v>221</v>
      </c>
      <c r="P56" s="6">
        <v>3861</v>
      </c>
      <c r="Q56">
        <v>1930.5</v>
      </c>
      <c r="R56">
        <v>772.2</v>
      </c>
      <c r="S56">
        <v>198</v>
      </c>
      <c r="T56" s="6">
        <v>742.56</v>
      </c>
      <c r="U56" t="s">
        <v>172</v>
      </c>
      <c r="V56" t="s">
        <v>1686</v>
      </c>
      <c r="W56" t="s">
        <v>1674</v>
      </c>
      <c r="X56" t="s">
        <v>1683</v>
      </c>
      <c r="Y56" t="s">
        <v>1679</v>
      </c>
      <c r="Z56" t="s">
        <v>1684</v>
      </c>
      <c r="AA56" t="s">
        <v>218</v>
      </c>
      <c r="AB56">
        <v>34</v>
      </c>
      <c r="AC56">
        <v>26</v>
      </c>
      <c r="AE56">
        <v>180</v>
      </c>
      <c r="AH56" t="s">
        <v>31</v>
      </c>
    </row>
    <row r="57" spans="1:34" x14ac:dyDescent="0.25">
      <c r="A57">
        <v>56</v>
      </c>
      <c r="B57" s="5">
        <v>441836342</v>
      </c>
      <c r="C57" s="5">
        <v>70906507885</v>
      </c>
      <c r="D57">
        <v>4828</v>
      </c>
      <c r="E57" s="1" t="s">
        <v>1689</v>
      </c>
      <c r="F57" t="s">
        <v>219</v>
      </c>
      <c r="G57" t="s">
        <v>220</v>
      </c>
      <c r="H57">
        <v>26465</v>
      </c>
      <c r="I57">
        <v>47502117</v>
      </c>
      <c r="L57" s="2">
        <v>34098</v>
      </c>
      <c r="M57" s="3">
        <f t="shared" si="0"/>
        <v>1993</v>
      </c>
      <c r="N57" s="2" t="s">
        <v>28</v>
      </c>
      <c r="O57">
        <v>166</v>
      </c>
      <c r="P57" s="6">
        <v>19297</v>
      </c>
      <c r="Q57">
        <v>9648.5</v>
      </c>
      <c r="R57">
        <v>3859.4</v>
      </c>
      <c r="S57">
        <v>154</v>
      </c>
      <c r="T57" s="6">
        <v>557.76</v>
      </c>
      <c r="U57" t="s">
        <v>168</v>
      </c>
      <c r="V57" t="s">
        <v>1677</v>
      </c>
      <c r="W57" t="s">
        <v>1687</v>
      </c>
      <c r="X57" t="s">
        <v>1675</v>
      </c>
      <c r="Y57" t="s">
        <v>1679</v>
      </c>
      <c r="Z57" t="s">
        <v>1680</v>
      </c>
      <c r="AA57" t="s">
        <v>221</v>
      </c>
      <c r="AB57">
        <v>114</v>
      </c>
      <c r="AC57">
        <v>3</v>
      </c>
      <c r="AE57">
        <v>142</v>
      </c>
      <c r="AH57" t="s">
        <v>98</v>
      </c>
    </row>
    <row r="58" spans="1:34" x14ac:dyDescent="0.25">
      <c r="A58">
        <v>57</v>
      </c>
      <c r="B58" s="5">
        <v>587945722</v>
      </c>
      <c r="C58" s="5">
        <v>54642088823</v>
      </c>
      <c r="D58">
        <v>1302</v>
      </c>
      <c r="E58" s="1" t="s">
        <v>1688</v>
      </c>
      <c r="F58" t="s">
        <v>222</v>
      </c>
      <c r="G58" t="s">
        <v>223</v>
      </c>
      <c r="H58">
        <v>31000</v>
      </c>
      <c r="I58">
        <v>30987596</v>
      </c>
      <c r="L58" s="2">
        <v>37570</v>
      </c>
      <c r="M58" s="3">
        <f t="shared" si="0"/>
        <v>2002</v>
      </c>
      <c r="N58" s="2" t="s">
        <v>28</v>
      </c>
      <c r="O58">
        <v>197</v>
      </c>
      <c r="P58" s="6">
        <v>24482</v>
      </c>
      <c r="Q58">
        <v>12241</v>
      </c>
      <c r="R58">
        <v>4896.4000000000005</v>
      </c>
      <c r="S58">
        <v>220</v>
      </c>
      <c r="T58" s="6">
        <v>661.92000000000007</v>
      </c>
      <c r="U58" t="s">
        <v>164</v>
      </c>
      <c r="V58" t="s">
        <v>1677</v>
      </c>
      <c r="W58" t="s">
        <v>1674</v>
      </c>
      <c r="X58" t="s">
        <v>1675</v>
      </c>
      <c r="Y58" t="s">
        <v>1679</v>
      </c>
      <c r="Z58" t="s">
        <v>1680</v>
      </c>
      <c r="AA58" t="s">
        <v>224</v>
      </c>
      <c r="AB58">
        <v>86</v>
      </c>
      <c r="AC58">
        <v>57</v>
      </c>
      <c r="AE58">
        <v>4</v>
      </c>
      <c r="AH58" t="s">
        <v>31</v>
      </c>
    </row>
    <row r="59" spans="1:34" x14ac:dyDescent="0.25">
      <c r="A59">
        <v>58</v>
      </c>
      <c r="B59" s="5">
        <v>672290514</v>
      </c>
      <c r="C59" s="5">
        <v>27148931071</v>
      </c>
      <c r="D59">
        <v>3543</v>
      </c>
      <c r="E59" s="1" t="s">
        <v>1688</v>
      </c>
      <c r="F59" t="s">
        <v>225</v>
      </c>
      <c r="G59" t="s">
        <v>226</v>
      </c>
      <c r="H59">
        <v>34378</v>
      </c>
      <c r="I59">
        <v>38135763</v>
      </c>
      <c r="L59" s="2">
        <v>40948</v>
      </c>
      <c r="M59" s="3">
        <f t="shared" si="0"/>
        <v>2012</v>
      </c>
      <c r="N59" s="2" t="s">
        <v>28</v>
      </c>
      <c r="O59">
        <v>226</v>
      </c>
      <c r="P59" s="6">
        <v>7049</v>
      </c>
      <c r="Q59">
        <v>3524.5</v>
      </c>
      <c r="R59">
        <v>1409.8000000000002</v>
      </c>
      <c r="S59">
        <v>286</v>
      </c>
      <c r="T59" s="6">
        <v>759.36</v>
      </c>
      <c r="U59" t="s">
        <v>140</v>
      </c>
      <c r="V59" t="s">
        <v>1682</v>
      </c>
      <c r="W59" t="s">
        <v>1678</v>
      </c>
      <c r="X59" t="s">
        <v>1683</v>
      </c>
      <c r="Y59" t="s">
        <v>1679</v>
      </c>
      <c r="Z59" t="s">
        <v>1684</v>
      </c>
      <c r="AA59" t="s">
        <v>227</v>
      </c>
      <c r="AB59">
        <v>35</v>
      </c>
      <c r="AC59">
        <v>17</v>
      </c>
      <c r="AE59">
        <v>162</v>
      </c>
      <c r="AH59" t="s">
        <v>36</v>
      </c>
    </row>
    <row r="60" spans="1:34" x14ac:dyDescent="0.25">
      <c r="A60">
        <v>59</v>
      </c>
      <c r="B60" s="5">
        <v>348351354</v>
      </c>
      <c r="C60" s="5">
        <v>92249378299</v>
      </c>
      <c r="D60">
        <v>6617</v>
      </c>
      <c r="E60" s="1" t="s">
        <v>1689</v>
      </c>
      <c r="F60" t="s">
        <v>228</v>
      </c>
      <c r="G60" t="s">
        <v>229</v>
      </c>
      <c r="H60">
        <v>35155</v>
      </c>
      <c r="I60">
        <v>37063517</v>
      </c>
      <c r="L60" s="2">
        <v>41725</v>
      </c>
      <c r="M60" s="3">
        <f t="shared" si="0"/>
        <v>2014</v>
      </c>
      <c r="N60" s="2">
        <v>43105</v>
      </c>
      <c r="O60">
        <v>218</v>
      </c>
      <c r="P60" s="6">
        <v>8743</v>
      </c>
      <c r="Q60">
        <v>4371.5</v>
      </c>
      <c r="R60">
        <v>1748.6000000000001</v>
      </c>
      <c r="S60">
        <v>198</v>
      </c>
      <c r="T60" s="6">
        <v>732.48</v>
      </c>
      <c r="U60" t="s">
        <v>29</v>
      </c>
      <c r="V60" t="s">
        <v>1673</v>
      </c>
      <c r="W60" t="s">
        <v>1674</v>
      </c>
      <c r="X60" t="s">
        <v>1675</v>
      </c>
      <c r="Y60" t="s">
        <v>61</v>
      </c>
      <c r="Z60" t="s">
        <v>1676</v>
      </c>
      <c r="AA60" t="s">
        <v>230</v>
      </c>
      <c r="AB60">
        <v>75</v>
      </c>
      <c r="AC60">
        <v>4</v>
      </c>
      <c r="AE60">
        <v>45</v>
      </c>
      <c r="AH60" t="s">
        <v>31</v>
      </c>
    </row>
    <row r="61" spans="1:34" x14ac:dyDescent="0.25">
      <c r="A61">
        <v>60</v>
      </c>
      <c r="B61" s="5">
        <v>473992858</v>
      </c>
      <c r="C61" s="5">
        <v>43020461189</v>
      </c>
      <c r="D61">
        <v>6356</v>
      </c>
      <c r="E61" s="1" t="s">
        <v>1689</v>
      </c>
      <c r="F61" t="s">
        <v>231</v>
      </c>
      <c r="G61" t="s">
        <v>232</v>
      </c>
      <c r="H61">
        <v>34408</v>
      </c>
      <c r="I61">
        <v>47265296</v>
      </c>
      <c r="L61" s="2">
        <v>40978</v>
      </c>
      <c r="M61" s="3">
        <f t="shared" si="0"/>
        <v>2012</v>
      </c>
      <c r="N61" s="2" t="s">
        <v>28</v>
      </c>
      <c r="O61">
        <v>236</v>
      </c>
      <c r="P61" s="6">
        <v>19379</v>
      </c>
      <c r="Q61">
        <v>9689.5</v>
      </c>
      <c r="R61">
        <v>3875.8</v>
      </c>
      <c r="S61">
        <v>286</v>
      </c>
      <c r="T61" s="6">
        <v>792.96</v>
      </c>
      <c r="U61" t="s">
        <v>140</v>
      </c>
      <c r="V61" t="s">
        <v>1682</v>
      </c>
      <c r="W61" t="s">
        <v>1678</v>
      </c>
      <c r="X61" t="s">
        <v>1683</v>
      </c>
      <c r="Y61" t="s">
        <v>1679</v>
      </c>
      <c r="Z61" t="s">
        <v>1684</v>
      </c>
      <c r="AA61" t="s">
        <v>233</v>
      </c>
      <c r="AB61">
        <v>92</v>
      </c>
      <c r="AC61">
        <v>18</v>
      </c>
      <c r="AE61">
        <v>174</v>
      </c>
      <c r="AH61" t="s">
        <v>36</v>
      </c>
    </row>
    <row r="62" spans="1:34" x14ac:dyDescent="0.25">
      <c r="A62">
        <v>61</v>
      </c>
      <c r="B62" s="5">
        <v>733055617</v>
      </c>
      <c r="C62" s="5">
        <v>70947774668</v>
      </c>
      <c r="D62">
        <v>6587</v>
      </c>
      <c r="E62" s="1" t="s">
        <v>1688</v>
      </c>
      <c r="F62" t="s">
        <v>234</v>
      </c>
      <c r="G62" t="s">
        <v>235</v>
      </c>
      <c r="H62">
        <v>33943</v>
      </c>
      <c r="I62">
        <v>21433833</v>
      </c>
      <c r="L62" s="2">
        <v>42070</v>
      </c>
      <c r="M62" s="3">
        <f t="shared" si="0"/>
        <v>2015</v>
      </c>
      <c r="N62" s="2" t="s">
        <v>28</v>
      </c>
      <c r="O62">
        <v>154</v>
      </c>
      <c r="P62" s="6">
        <v>13008</v>
      </c>
      <c r="Q62">
        <v>6504</v>
      </c>
      <c r="R62">
        <v>2601.6000000000004</v>
      </c>
      <c r="S62">
        <v>308</v>
      </c>
      <c r="T62" s="6">
        <v>517.44000000000005</v>
      </c>
      <c r="U62" t="s">
        <v>34</v>
      </c>
      <c r="V62" t="s">
        <v>1677</v>
      </c>
      <c r="W62" t="s">
        <v>1678</v>
      </c>
      <c r="X62" t="s">
        <v>1675</v>
      </c>
      <c r="Y62" t="s">
        <v>1679</v>
      </c>
      <c r="Z62" t="s">
        <v>1680</v>
      </c>
      <c r="AA62" t="s">
        <v>236</v>
      </c>
      <c r="AB62">
        <v>143</v>
      </c>
      <c r="AC62">
        <v>4</v>
      </c>
      <c r="AE62">
        <v>81</v>
      </c>
      <c r="AH62" t="s">
        <v>36</v>
      </c>
    </row>
    <row r="63" spans="1:34" x14ac:dyDescent="0.25">
      <c r="A63">
        <v>62</v>
      </c>
      <c r="B63" s="5">
        <v>821413862</v>
      </c>
      <c r="C63" s="5">
        <v>83362534903</v>
      </c>
      <c r="D63">
        <v>6788</v>
      </c>
      <c r="E63" s="1" t="s">
        <v>1688</v>
      </c>
      <c r="F63" t="s">
        <v>237</v>
      </c>
      <c r="G63" t="s">
        <v>238</v>
      </c>
      <c r="H63">
        <v>29466</v>
      </c>
      <c r="I63">
        <v>47416246</v>
      </c>
      <c r="L63" s="2">
        <v>41693</v>
      </c>
      <c r="M63" s="3">
        <f t="shared" si="0"/>
        <v>2014</v>
      </c>
      <c r="N63" s="2" t="s">
        <v>28</v>
      </c>
      <c r="O63">
        <v>161</v>
      </c>
      <c r="P63" s="6">
        <v>19843</v>
      </c>
      <c r="Q63">
        <v>9921.5</v>
      </c>
      <c r="R63">
        <v>3968.6000000000004</v>
      </c>
      <c r="S63">
        <v>154</v>
      </c>
      <c r="T63" s="6">
        <v>540.96</v>
      </c>
      <c r="U63" t="s">
        <v>96</v>
      </c>
      <c r="V63" t="s">
        <v>1686</v>
      </c>
      <c r="W63" t="s">
        <v>1687</v>
      </c>
      <c r="X63" t="s">
        <v>1683</v>
      </c>
      <c r="Y63" t="s">
        <v>1679</v>
      </c>
      <c r="Z63" t="s">
        <v>1684</v>
      </c>
      <c r="AA63" t="s">
        <v>239</v>
      </c>
      <c r="AB63">
        <v>95</v>
      </c>
      <c r="AC63">
        <v>9</v>
      </c>
      <c r="AE63">
        <v>193</v>
      </c>
      <c r="AH63" t="s">
        <v>98</v>
      </c>
    </row>
    <row r="64" spans="1:34" x14ac:dyDescent="0.25">
      <c r="A64">
        <v>63</v>
      </c>
      <c r="B64" s="5">
        <v>226520034</v>
      </c>
      <c r="C64" s="5">
        <v>58990891166</v>
      </c>
      <c r="D64">
        <v>3903</v>
      </c>
      <c r="E64" s="1" t="s">
        <v>1689</v>
      </c>
      <c r="F64" t="s">
        <v>240</v>
      </c>
      <c r="G64" t="s">
        <v>241</v>
      </c>
      <c r="H64">
        <v>32259</v>
      </c>
      <c r="I64">
        <v>25516035</v>
      </c>
      <c r="L64" s="2">
        <v>41445</v>
      </c>
      <c r="M64" s="3">
        <f t="shared" si="0"/>
        <v>2013</v>
      </c>
      <c r="N64" s="2" t="s">
        <v>28</v>
      </c>
      <c r="O64">
        <v>246</v>
      </c>
      <c r="P64" s="6">
        <v>11983</v>
      </c>
      <c r="Q64">
        <v>5991.5</v>
      </c>
      <c r="R64">
        <v>2396.6</v>
      </c>
      <c r="S64">
        <v>264</v>
      </c>
      <c r="T64" s="6">
        <v>826.56</v>
      </c>
      <c r="U64" t="s">
        <v>44</v>
      </c>
      <c r="V64" t="s">
        <v>1682</v>
      </c>
      <c r="W64" t="s">
        <v>1681</v>
      </c>
      <c r="X64" t="s">
        <v>1683</v>
      </c>
      <c r="Y64" t="s">
        <v>1679</v>
      </c>
      <c r="Z64" t="s">
        <v>1684</v>
      </c>
      <c r="AA64" t="s">
        <v>242</v>
      </c>
      <c r="AB64">
        <v>38</v>
      </c>
      <c r="AC64">
        <v>37</v>
      </c>
      <c r="AE64">
        <v>174</v>
      </c>
      <c r="AH64" t="s">
        <v>41</v>
      </c>
    </row>
    <row r="65" spans="1:34" x14ac:dyDescent="0.25">
      <c r="A65">
        <v>64</v>
      </c>
      <c r="B65" s="5">
        <v>432815331</v>
      </c>
      <c r="C65" s="5">
        <v>17507519379</v>
      </c>
      <c r="D65">
        <v>2633</v>
      </c>
      <c r="E65" s="1" t="s">
        <v>1688</v>
      </c>
      <c r="F65" t="s">
        <v>243</v>
      </c>
      <c r="G65" t="s">
        <v>244</v>
      </c>
      <c r="H65">
        <v>32360</v>
      </c>
      <c r="I65">
        <v>21987179</v>
      </c>
      <c r="L65" s="2">
        <v>38930</v>
      </c>
      <c r="M65" s="3">
        <f t="shared" si="0"/>
        <v>2006</v>
      </c>
      <c r="N65" s="2" t="s">
        <v>28</v>
      </c>
      <c r="O65">
        <v>176</v>
      </c>
      <c r="P65" s="6">
        <v>16484</v>
      </c>
      <c r="Q65">
        <v>8242</v>
      </c>
      <c r="R65">
        <v>3296.8</v>
      </c>
      <c r="S65">
        <v>264</v>
      </c>
      <c r="T65" s="6">
        <v>591.36</v>
      </c>
      <c r="U65" t="s">
        <v>164</v>
      </c>
      <c r="V65" t="s">
        <v>1677</v>
      </c>
      <c r="W65" t="s">
        <v>1674</v>
      </c>
      <c r="X65" t="s">
        <v>1675</v>
      </c>
      <c r="Y65" t="s">
        <v>1679</v>
      </c>
      <c r="Z65" t="s">
        <v>1680</v>
      </c>
      <c r="AA65" t="s">
        <v>245</v>
      </c>
      <c r="AB65">
        <v>65</v>
      </c>
      <c r="AC65">
        <v>16</v>
      </c>
      <c r="AE65">
        <v>21</v>
      </c>
      <c r="AH65" t="s">
        <v>31</v>
      </c>
    </row>
    <row r="66" spans="1:34" x14ac:dyDescent="0.25">
      <c r="A66">
        <v>65</v>
      </c>
      <c r="B66" s="5">
        <v>599595958</v>
      </c>
      <c r="C66" s="5">
        <v>61335203433</v>
      </c>
      <c r="D66">
        <v>5546</v>
      </c>
      <c r="E66" s="1" t="s">
        <v>1688</v>
      </c>
      <c r="F66" t="s">
        <v>246</v>
      </c>
      <c r="G66" t="s">
        <v>247</v>
      </c>
      <c r="H66">
        <v>29474</v>
      </c>
      <c r="I66">
        <v>46803076</v>
      </c>
      <c r="L66" s="2">
        <v>36044</v>
      </c>
      <c r="M66" s="3">
        <f t="shared" si="0"/>
        <v>1998</v>
      </c>
      <c r="N66" s="2" t="s">
        <v>28</v>
      </c>
      <c r="O66">
        <v>150</v>
      </c>
      <c r="P66" s="6">
        <v>11596</v>
      </c>
      <c r="Q66">
        <v>5798</v>
      </c>
      <c r="R66">
        <v>2319.2000000000003</v>
      </c>
      <c r="S66">
        <v>198</v>
      </c>
      <c r="T66" s="6">
        <v>504</v>
      </c>
      <c r="U66" t="s">
        <v>96</v>
      </c>
      <c r="V66" t="s">
        <v>1686</v>
      </c>
      <c r="W66" t="s">
        <v>1687</v>
      </c>
      <c r="X66" t="s">
        <v>1683</v>
      </c>
      <c r="Y66" t="s">
        <v>1679</v>
      </c>
      <c r="Z66" t="s">
        <v>1684</v>
      </c>
      <c r="AA66" t="s">
        <v>248</v>
      </c>
      <c r="AB66">
        <v>135</v>
      </c>
      <c r="AC66">
        <v>31</v>
      </c>
      <c r="AE66">
        <v>61</v>
      </c>
      <c r="AH66" t="s">
        <v>98</v>
      </c>
    </row>
    <row r="67" spans="1:34" x14ac:dyDescent="0.25">
      <c r="A67">
        <v>66</v>
      </c>
      <c r="B67" s="5">
        <v>531722083</v>
      </c>
      <c r="C67" s="5">
        <v>35900521383</v>
      </c>
      <c r="D67">
        <v>1522</v>
      </c>
      <c r="E67" s="1" t="s">
        <v>1689</v>
      </c>
      <c r="F67" t="s">
        <v>249</v>
      </c>
      <c r="G67" t="s">
        <v>250</v>
      </c>
      <c r="H67">
        <v>27851</v>
      </c>
      <c r="I67">
        <v>21139804</v>
      </c>
      <c r="L67" s="2">
        <v>40956</v>
      </c>
      <c r="M67" s="3">
        <f t="shared" ref="M67:M130" si="1">YEAR(L67)</f>
        <v>2012</v>
      </c>
      <c r="N67" s="2" t="s">
        <v>28</v>
      </c>
      <c r="O67">
        <v>244</v>
      </c>
      <c r="P67" s="6">
        <v>19441</v>
      </c>
      <c r="Q67">
        <v>9720.5</v>
      </c>
      <c r="R67">
        <v>3888.2000000000003</v>
      </c>
      <c r="S67">
        <v>242</v>
      </c>
      <c r="T67" s="6">
        <v>819.84</v>
      </c>
      <c r="U67" t="s">
        <v>34</v>
      </c>
      <c r="V67" t="s">
        <v>1677</v>
      </c>
      <c r="W67" t="s">
        <v>1678</v>
      </c>
      <c r="X67" t="s">
        <v>1675</v>
      </c>
      <c r="Y67" t="s">
        <v>1679</v>
      </c>
      <c r="Z67" t="s">
        <v>1680</v>
      </c>
      <c r="AA67" t="s">
        <v>251</v>
      </c>
      <c r="AB67">
        <v>70</v>
      </c>
      <c r="AC67">
        <v>21</v>
      </c>
      <c r="AE67">
        <v>162</v>
      </c>
      <c r="AH67" t="s">
        <v>36</v>
      </c>
    </row>
    <row r="68" spans="1:34" x14ac:dyDescent="0.25">
      <c r="A68">
        <v>67</v>
      </c>
      <c r="B68" s="5">
        <v>777593239</v>
      </c>
      <c r="C68" s="5">
        <v>49303014478</v>
      </c>
      <c r="D68">
        <v>1546</v>
      </c>
      <c r="E68" s="1" t="s">
        <v>1688</v>
      </c>
      <c r="F68" t="s">
        <v>252</v>
      </c>
      <c r="G68" t="s">
        <v>253</v>
      </c>
      <c r="H68">
        <v>31537</v>
      </c>
      <c r="I68">
        <v>20982322</v>
      </c>
      <c r="L68" s="2">
        <v>38107</v>
      </c>
      <c r="M68" s="3">
        <f t="shared" si="1"/>
        <v>2004</v>
      </c>
      <c r="N68" s="2" t="s">
        <v>28</v>
      </c>
      <c r="O68">
        <v>247</v>
      </c>
      <c r="P68" s="6">
        <v>12054</v>
      </c>
      <c r="Q68">
        <v>6027</v>
      </c>
      <c r="R68">
        <v>2410.8000000000002</v>
      </c>
      <c r="S68">
        <v>308</v>
      </c>
      <c r="T68" s="6">
        <v>829.92000000000007</v>
      </c>
      <c r="U68" t="s">
        <v>127</v>
      </c>
      <c r="V68" t="s">
        <v>1686</v>
      </c>
      <c r="W68" t="s">
        <v>1685</v>
      </c>
      <c r="X68" t="s">
        <v>1683</v>
      </c>
      <c r="Y68" t="s">
        <v>1679</v>
      </c>
      <c r="Z68" t="s">
        <v>1684</v>
      </c>
      <c r="AA68" t="s">
        <v>254</v>
      </c>
      <c r="AB68">
        <v>65</v>
      </c>
      <c r="AC68">
        <v>35</v>
      </c>
      <c r="AE68">
        <v>91</v>
      </c>
      <c r="AH68" t="s">
        <v>57</v>
      </c>
    </row>
    <row r="69" spans="1:34" x14ac:dyDescent="0.25">
      <c r="A69">
        <v>68</v>
      </c>
      <c r="B69" s="5">
        <v>373077087</v>
      </c>
      <c r="C69" s="5">
        <v>40570494309</v>
      </c>
      <c r="D69">
        <v>7895</v>
      </c>
      <c r="E69" s="1" t="s">
        <v>1689</v>
      </c>
      <c r="F69" t="s">
        <v>255</v>
      </c>
      <c r="G69" t="s">
        <v>256</v>
      </c>
      <c r="H69">
        <v>30263</v>
      </c>
      <c r="I69">
        <v>45583763</v>
      </c>
      <c r="L69" s="2">
        <v>37442</v>
      </c>
      <c r="M69" s="3">
        <f t="shared" si="1"/>
        <v>2002</v>
      </c>
      <c r="N69" s="2" t="s">
        <v>28</v>
      </c>
      <c r="O69">
        <v>217</v>
      </c>
      <c r="P69" s="6">
        <v>17943</v>
      </c>
      <c r="Q69">
        <v>8971.5</v>
      </c>
      <c r="R69">
        <v>3588.6000000000004</v>
      </c>
      <c r="S69">
        <v>264</v>
      </c>
      <c r="T69" s="6">
        <v>729.12</v>
      </c>
      <c r="U69" t="s">
        <v>64</v>
      </c>
      <c r="V69" t="s">
        <v>1682</v>
      </c>
      <c r="W69" t="s">
        <v>1685</v>
      </c>
      <c r="X69" t="s">
        <v>1683</v>
      </c>
      <c r="Y69" t="s">
        <v>1679</v>
      </c>
      <c r="Z69" t="s">
        <v>1684</v>
      </c>
      <c r="AA69" t="s">
        <v>257</v>
      </c>
      <c r="AB69">
        <v>102</v>
      </c>
      <c r="AC69">
        <v>40</v>
      </c>
      <c r="AE69">
        <v>4</v>
      </c>
      <c r="AH69" t="s">
        <v>57</v>
      </c>
    </row>
    <row r="70" spans="1:34" x14ac:dyDescent="0.25">
      <c r="A70">
        <v>69</v>
      </c>
      <c r="B70" s="5">
        <v>630811437</v>
      </c>
      <c r="C70" s="5">
        <v>22907920992</v>
      </c>
      <c r="D70">
        <v>3339</v>
      </c>
      <c r="E70" s="1" t="s">
        <v>1689</v>
      </c>
      <c r="F70" t="s">
        <v>258</v>
      </c>
      <c r="G70" t="s">
        <v>259</v>
      </c>
      <c r="H70">
        <v>27116</v>
      </c>
      <c r="I70">
        <v>44841943</v>
      </c>
      <c r="L70" s="2">
        <v>36762</v>
      </c>
      <c r="M70" s="3">
        <f t="shared" si="1"/>
        <v>2000</v>
      </c>
      <c r="N70" s="2" t="s">
        <v>28</v>
      </c>
      <c r="O70">
        <v>180</v>
      </c>
      <c r="P70" s="6">
        <v>4811</v>
      </c>
      <c r="Q70">
        <v>2405.5</v>
      </c>
      <c r="R70">
        <v>962.2</v>
      </c>
      <c r="S70">
        <v>220</v>
      </c>
      <c r="T70" s="6">
        <v>604.80000000000007</v>
      </c>
      <c r="U70" t="s">
        <v>68</v>
      </c>
      <c r="V70" t="s">
        <v>1686</v>
      </c>
      <c r="W70" t="s">
        <v>1681</v>
      </c>
      <c r="X70" t="s">
        <v>1683</v>
      </c>
      <c r="Y70" t="s">
        <v>1679</v>
      </c>
      <c r="Z70" t="s">
        <v>1684</v>
      </c>
      <c r="AA70" t="s">
        <v>260</v>
      </c>
      <c r="AB70">
        <v>80</v>
      </c>
      <c r="AC70">
        <v>17</v>
      </c>
      <c r="AE70">
        <v>147</v>
      </c>
      <c r="AH70" t="s">
        <v>41</v>
      </c>
    </row>
    <row r="71" spans="1:34" x14ac:dyDescent="0.25">
      <c r="A71">
        <v>70</v>
      </c>
      <c r="B71" s="5">
        <v>594348050</v>
      </c>
      <c r="C71" s="5">
        <v>57007091977</v>
      </c>
      <c r="D71">
        <v>7902</v>
      </c>
      <c r="E71" s="1" t="s">
        <v>1689</v>
      </c>
      <c r="F71" t="s">
        <v>261</v>
      </c>
      <c r="G71" t="s">
        <v>262</v>
      </c>
      <c r="H71">
        <v>30334</v>
      </c>
      <c r="I71">
        <v>38160945</v>
      </c>
      <c r="L71" s="2">
        <v>36904</v>
      </c>
      <c r="M71" s="3">
        <f t="shared" si="1"/>
        <v>2001</v>
      </c>
      <c r="N71" s="2" t="s">
        <v>28</v>
      </c>
      <c r="O71">
        <v>174</v>
      </c>
      <c r="P71" s="6">
        <v>3391</v>
      </c>
      <c r="Q71">
        <v>1695.5</v>
      </c>
      <c r="R71">
        <v>678.2</v>
      </c>
      <c r="S71">
        <v>176</v>
      </c>
      <c r="T71" s="6">
        <v>584.64</v>
      </c>
      <c r="U71" t="s">
        <v>164</v>
      </c>
      <c r="V71" t="s">
        <v>1677</v>
      </c>
      <c r="W71" t="s">
        <v>1674</v>
      </c>
      <c r="X71" t="s">
        <v>1675</v>
      </c>
      <c r="Y71" t="s">
        <v>1679</v>
      </c>
      <c r="Z71" t="s">
        <v>1680</v>
      </c>
      <c r="AA71" t="s">
        <v>263</v>
      </c>
      <c r="AB71">
        <v>145</v>
      </c>
      <c r="AC71">
        <v>32</v>
      </c>
      <c r="AE71">
        <v>157</v>
      </c>
      <c r="AH71" t="s">
        <v>31</v>
      </c>
    </row>
    <row r="72" spans="1:34" x14ac:dyDescent="0.25">
      <c r="A72">
        <v>71</v>
      </c>
      <c r="B72" s="5">
        <v>592360975</v>
      </c>
      <c r="C72" s="5">
        <v>83370176564</v>
      </c>
      <c r="D72">
        <v>5274</v>
      </c>
      <c r="E72" s="1" t="s">
        <v>1689</v>
      </c>
      <c r="F72" t="s">
        <v>264</v>
      </c>
      <c r="G72" t="s">
        <v>265</v>
      </c>
      <c r="H72">
        <v>32601</v>
      </c>
      <c r="I72">
        <v>49489965</v>
      </c>
      <c r="L72" s="2">
        <v>42001</v>
      </c>
      <c r="M72" s="3">
        <f t="shared" si="1"/>
        <v>2014</v>
      </c>
      <c r="N72" s="2" t="s">
        <v>28</v>
      </c>
      <c r="O72">
        <v>203</v>
      </c>
      <c r="P72" s="6">
        <v>16054</v>
      </c>
      <c r="Q72">
        <v>8027</v>
      </c>
      <c r="R72">
        <v>3210.8</v>
      </c>
      <c r="S72">
        <v>176</v>
      </c>
      <c r="T72" s="6">
        <v>682.07999999999993</v>
      </c>
      <c r="U72" t="s">
        <v>51</v>
      </c>
      <c r="V72" t="s">
        <v>1682</v>
      </c>
      <c r="W72" t="s">
        <v>1674</v>
      </c>
      <c r="X72" t="s">
        <v>1683</v>
      </c>
      <c r="Y72" t="s">
        <v>1679</v>
      </c>
      <c r="Z72" t="s">
        <v>1684</v>
      </c>
      <c r="AA72" t="s">
        <v>266</v>
      </c>
      <c r="AB72">
        <v>137</v>
      </c>
      <c r="AC72">
        <v>31</v>
      </c>
      <c r="AE72">
        <v>107</v>
      </c>
      <c r="AH72" t="s">
        <v>31</v>
      </c>
    </row>
    <row r="73" spans="1:34" x14ac:dyDescent="0.25">
      <c r="A73">
        <v>72</v>
      </c>
      <c r="B73" s="5">
        <v>244866609</v>
      </c>
      <c r="C73" s="5">
        <v>53557650797</v>
      </c>
      <c r="D73">
        <v>7302</v>
      </c>
      <c r="E73" s="1" t="s">
        <v>1689</v>
      </c>
      <c r="F73" t="s">
        <v>267</v>
      </c>
      <c r="G73" t="s">
        <v>268</v>
      </c>
      <c r="H73">
        <v>25571</v>
      </c>
      <c r="I73">
        <v>22231674</v>
      </c>
      <c r="L73" s="2">
        <v>35168</v>
      </c>
      <c r="M73" s="3">
        <f t="shared" si="1"/>
        <v>1996</v>
      </c>
      <c r="N73" s="2" t="s">
        <v>28</v>
      </c>
      <c r="O73">
        <v>156</v>
      </c>
      <c r="P73" s="6">
        <v>11867</v>
      </c>
      <c r="Q73">
        <v>5933.5</v>
      </c>
      <c r="R73">
        <v>2373.4</v>
      </c>
      <c r="S73">
        <v>264</v>
      </c>
      <c r="T73" s="6">
        <v>524.16</v>
      </c>
      <c r="U73" t="s">
        <v>140</v>
      </c>
      <c r="V73" t="s">
        <v>1682</v>
      </c>
      <c r="W73" t="s">
        <v>1678</v>
      </c>
      <c r="X73" t="s">
        <v>1683</v>
      </c>
      <c r="Y73" t="s">
        <v>1679</v>
      </c>
      <c r="Z73" t="s">
        <v>1684</v>
      </c>
      <c r="AA73" t="s">
        <v>269</v>
      </c>
      <c r="AB73">
        <v>97</v>
      </c>
      <c r="AC73">
        <v>56</v>
      </c>
      <c r="AE73">
        <v>46</v>
      </c>
      <c r="AH73" t="s">
        <v>36</v>
      </c>
    </row>
    <row r="74" spans="1:34" x14ac:dyDescent="0.25">
      <c r="A74">
        <v>73</v>
      </c>
      <c r="B74" s="5">
        <v>714553555</v>
      </c>
      <c r="C74" s="5">
        <v>58026423420</v>
      </c>
      <c r="D74">
        <v>5685</v>
      </c>
      <c r="E74" s="1" t="s">
        <v>1689</v>
      </c>
      <c r="F74" t="s">
        <v>270</v>
      </c>
      <c r="G74" t="s">
        <v>271</v>
      </c>
      <c r="H74">
        <v>26572</v>
      </c>
      <c r="I74">
        <v>44392163</v>
      </c>
      <c r="L74" s="2">
        <v>37083</v>
      </c>
      <c r="M74" s="3">
        <f t="shared" si="1"/>
        <v>2001</v>
      </c>
      <c r="N74" s="2" t="s">
        <v>28</v>
      </c>
      <c r="O74">
        <v>206</v>
      </c>
      <c r="P74" s="6">
        <v>2439</v>
      </c>
      <c r="Q74">
        <v>1219.5</v>
      </c>
      <c r="R74">
        <v>487.8</v>
      </c>
      <c r="S74">
        <v>264</v>
      </c>
      <c r="T74" s="6">
        <v>692.16</v>
      </c>
      <c r="U74" t="s">
        <v>157</v>
      </c>
      <c r="V74" t="s">
        <v>1682</v>
      </c>
      <c r="W74" t="s">
        <v>1687</v>
      </c>
      <c r="X74" t="s">
        <v>1683</v>
      </c>
      <c r="Y74" t="s">
        <v>1679</v>
      </c>
      <c r="Z74" t="s">
        <v>1684</v>
      </c>
      <c r="AA74" t="s">
        <v>272</v>
      </c>
      <c r="AB74">
        <v>147</v>
      </c>
      <c r="AC74">
        <v>33</v>
      </c>
      <c r="AE74">
        <v>190</v>
      </c>
      <c r="AH74" t="s">
        <v>98</v>
      </c>
    </row>
    <row r="75" spans="1:34" x14ac:dyDescent="0.25">
      <c r="A75">
        <v>74</v>
      </c>
      <c r="B75" s="5">
        <v>653328735</v>
      </c>
      <c r="C75" s="5">
        <v>25283907888</v>
      </c>
      <c r="D75">
        <v>2885</v>
      </c>
      <c r="E75" s="1" t="s">
        <v>1689</v>
      </c>
      <c r="F75" t="s">
        <v>273</v>
      </c>
      <c r="G75" t="s">
        <v>274</v>
      </c>
      <c r="H75">
        <v>31088</v>
      </c>
      <c r="I75">
        <v>33706705</v>
      </c>
      <c r="L75" s="2">
        <v>40962</v>
      </c>
      <c r="M75" s="3">
        <f t="shared" si="1"/>
        <v>2012</v>
      </c>
      <c r="N75" s="2" t="s">
        <v>28</v>
      </c>
      <c r="O75">
        <v>199</v>
      </c>
      <c r="P75" s="6">
        <v>8831</v>
      </c>
      <c r="Q75">
        <v>4415.5</v>
      </c>
      <c r="R75">
        <v>1766.2</v>
      </c>
      <c r="S75">
        <v>264</v>
      </c>
      <c r="T75" s="6">
        <v>668.64</v>
      </c>
      <c r="U75" t="s">
        <v>82</v>
      </c>
      <c r="V75" t="s">
        <v>1677</v>
      </c>
      <c r="W75" t="s">
        <v>1685</v>
      </c>
      <c r="X75" t="s">
        <v>1675</v>
      </c>
      <c r="Y75" t="s">
        <v>1679</v>
      </c>
      <c r="Z75" t="s">
        <v>1680</v>
      </c>
      <c r="AA75" t="s">
        <v>275</v>
      </c>
      <c r="AB75">
        <v>35</v>
      </c>
      <c r="AC75">
        <v>3</v>
      </c>
      <c r="AE75">
        <v>12</v>
      </c>
      <c r="AH75" t="s">
        <v>57</v>
      </c>
    </row>
    <row r="76" spans="1:34" x14ac:dyDescent="0.25">
      <c r="A76">
        <v>75</v>
      </c>
      <c r="B76" s="5">
        <v>474121843</v>
      </c>
      <c r="C76" s="5">
        <v>59706665923</v>
      </c>
      <c r="D76">
        <v>2035</v>
      </c>
      <c r="E76" s="1" t="s">
        <v>1688</v>
      </c>
      <c r="F76" t="s">
        <v>276</v>
      </c>
      <c r="G76" t="s">
        <v>277</v>
      </c>
      <c r="H76">
        <v>35587</v>
      </c>
      <c r="I76">
        <v>25188908</v>
      </c>
      <c r="L76" s="2">
        <v>42157</v>
      </c>
      <c r="M76" s="3">
        <f t="shared" si="1"/>
        <v>2015</v>
      </c>
      <c r="N76" s="2">
        <v>42632</v>
      </c>
      <c r="O76">
        <v>205</v>
      </c>
      <c r="P76" s="6">
        <v>9787</v>
      </c>
      <c r="Q76">
        <v>4893.5</v>
      </c>
      <c r="R76">
        <v>1957.4</v>
      </c>
      <c r="S76">
        <v>286</v>
      </c>
      <c r="T76" s="6">
        <v>688.80000000000007</v>
      </c>
      <c r="U76" t="s">
        <v>51</v>
      </c>
      <c r="V76" t="s">
        <v>1682</v>
      </c>
      <c r="W76" t="s">
        <v>1674</v>
      </c>
      <c r="X76" t="s">
        <v>1683</v>
      </c>
      <c r="Y76" t="s">
        <v>1679</v>
      </c>
      <c r="Z76" t="s">
        <v>1684</v>
      </c>
      <c r="AA76" t="s">
        <v>278</v>
      </c>
      <c r="AB76">
        <v>131</v>
      </c>
      <c r="AC76">
        <v>41</v>
      </c>
      <c r="AE76">
        <v>180</v>
      </c>
      <c r="AH76" t="s">
        <v>31</v>
      </c>
    </row>
    <row r="77" spans="1:34" x14ac:dyDescent="0.25">
      <c r="A77">
        <v>76</v>
      </c>
      <c r="B77" s="5">
        <v>427388096</v>
      </c>
      <c r="C77" s="5">
        <v>39608438530</v>
      </c>
      <c r="D77">
        <v>2640</v>
      </c>
      <c r="E77" s="1" t="s">
        <v>1688</v>
      </c>
      <c r="F77" t="s">
        <v>279</v>
      </c>
      <c r="G77" t="s">
        <v>280</v>
      </c>
      <c r="H77">
        <v>31371</v>
      </c>
      <c r="I77">
        <v>24933118</v>
      </c>
      <c r="L77" s="2">
        <v>38255</v>
      </c>
      <c r="M77" s="3">
        <f t="shared" si="1"/>
        <v>2004</v>
      </c>
      <c r="N77" s="2" t="s">
        <v>28</v>
      </c>
      <c r="O77">
        <v>182</v>
      </c>
      <c r="P77" s="6">
        <v>19621</v>
      </c>
      <c r="Q77">
        <v>9810.5</v>
      </c>
      <c r="R77">
        <v>3924.2000000000003</v>
      </c>
      <c r="S77">
        <v>154</v>
      </c>
      <c r="T77" s="6">
        <v>611.52</v>
      </c>
      <c r="U77" t="s">
        <v>44</v>
      </c>
      <c r="V77" t="s">
        <v>1682</v>
      </c>
      <c r="W77" t="s">
        <v>1681</v>
      </c>
      <c r="X77" t="s">
        <v>1683</v>
      </c>
      <c r="Y77" t="s">
        <v>1679</v>
      </c>
      <c r="Z77" t="s">
        <v>1684</v>
      </c>
      <c r="AA77" t="s">
        <v>281</v>
      </c>
      <c r="AB77">
        <v>26</v>
      </c>
      <c r="AC77">
        <v>57</v>
      </c>
      <c r="AE77">
        <v>18</v>
      </c>
      <c r="AH77" t="s">
        <v>41</v>
      </c>
    </row>
    <row r="78" spans="1:34" x14ac:dyDescent="0.25">
      <c r="A78">
        <v>77</v>
      </c>
      <c r="B78" s="5">
        <v>646616155</v>
      </c>
      <c r="C78" s="5">
        <v>96176994998</v>
      </c>
      <c r="D78">
        <v>7235</v>
      </c>
      <c r="E78" s="1" t="s">
        <v>1689</v>
      </c>
      <c r="F78" t="s">
        <v>282</v>
      </c>
      <c r="G78" t="s">
        <v>283</v>
      </c>
      <c r="H78">
        <v>26981</v>
      </c>
      <c r="I78">
        <v>40178855</v>
      </c>
      <c r="L78" s="2">
        <v>41334</v>
      </c>
      <c r="M78" s="3">
        <f t="shared" si="1"/>
        <v>2013</v>
      </c>
      <c r="N78" s="2" t="s">
        <v>28</v>
      </c>
      <c r="O78">
        <v>246</v>
      </c>
      <c r="P78" s="6">
        <v>20048</v>
      </c>
      <c r="Q78">
        <v>10024</v>
      </c>
      <c r="R78">
        <v>4009.6000000000004</v>
      </c>
      <c r="S78">
        <v>154</v>
      </c>
      <c r="T78" s="6">
        <v>826.56</v>
      </c>
      <c r="U78" t="s">
        <v>44</v>
      </c>
      <c r="V78" t="s">
        <v>1682</v>
      </c>
      <c r="W78" t="s">
        <v>1681</v>
      </c>
      <c r="X78" t="s">
        <v>1683</v>
      </c>
      <c r="Y78" t="s">
        <v>1679</v>
      </c>
      <c r="Z78" t="s">
        <v>1684</v>
      </c>
      <c r="AA78" t="s">
        <v>284</v>
      </c>
      <c r="AB78">
        <v>59</v>
      </c>
      <c r="AC78">
        <v>19</v>
      </c>
      <c r="AE78">
        <v>9</v>
      </c>
      <c r="AH78" t="s">
        <v>41</v>
      </c>
    </row>
    <row r="79" spans="1:34" x14ac:dyDescent="0.25">
      <c r="A79">
        <v>78</v>
      </c>
      <c r="B79" s="5">
        <v>975329320</v>
      </c>
      <c r="C79" s="5">
        <v>64835286968</v>
      </c>
      <c r="D79">
        <v>2323</v>
      </c>
      <c r="E79" s="1" t="s">
        <v>1689</v>
      </c>
      <c r="F79" t="s">
        <v>285</v>
      </c>
      <c r="G79" t="s">
        <v>286</v>
      </c>
      <c r="H79">
        <v>35207</v>
      </c>
      <c r="I79">
        <v>24631016</v>
      </c>
      <c r="L79" s="2">
        <v>41777</v>
      </c>
      <c r="M79" s="3">
        <f t="shared" si="1"/>
        <v>2014</v>
      </c>
      <c r="N79" s="2" t="s">
        <v>28</v>
      </c>
      <c r="O79">
        <v>153</v>
      </c>
      <c r="P79" s="6">
        <v>19086</v>
      </c>
      <c r="Q79">
        <v>9543</v>
      </c>
      <c r="R79">
        <v>3817.2000000000003</v>
      </c>
      <c r="S79">
        <v>264</v>
      </c>
      <c r="T79" s="6">
        <v>514.07999999999993</v>
      </c>
      <c r="U79" t="s">
        <v>157</v>
      </c>
      <c r="V79" t="s">
        <v>1682</v>
      </c>
      <c r="W79" t="s">
        <v>1687</v>
      </c>
      <c r="X79" t="s">
        <v>1683</v>
      </c>
      <c r="Y79" t="s">
        <v>1679</v>
      </c>
      <c r="Z79" t="s">
        <v>1684</v>
      </c>
      <c r="AA79" t="s">
        <v>287</v>
      </c>
      <c r="AB79">
        <v>32</v>
      </c>
      <c r="AC79">
        <v>8</v>
      </c>
      <c r="AE79">
        <v>12</v>
      </c>
      <c r="AH79" t="s">
        <v>98</v>
      </c>
    </row>
    <row r="80" spans="1:34" x14ac:dyDescent="0.25">
      <c r="A80">
        <v>79</v>
      </c>
      <c r="B80" s="5">
        <v>252474906</v>
      </c>
      <c r="C80" s="5">
        <v>43561231474</v>
      </c>
      <c r="D80">
        <v>1758</v>
      </c>
      <c r="E80" s="1" t="s">
        <v>1689</v>
      </c>
      <c r="F80" t="s">
        <v>288</v>
      </c>
      <c r="G80" t="s">
        <v>289</v>
      </c>
      <c r="H80">
        <v>30225</v>
      </c>
      <c r="I80">
        <v>38047673</v>
      </c>
      <c r="L80" s="2">
        <v>41818</v>
      </c>
      <c r="M80" s="3">
        <f t="shared" si="1"/>
        <v>2014</v>
      </c>
      <c r="N80" s="2" t="s">
        <v>28</v>
      </c>
      <c r="O80">
        <v>205</v>
      </c>
      <c r="P80" s="6">
        <v>17207</v>
      </c>
      <c r="Q80">
        <v>8603.5</v>
      </c>
      <c r="R80">
        <v>3441.4</v>
      </c>
      <c r="S80">
        <v>198</v>
      </c>
      <c r="T80" s="6">
        <v>688.80000000000007</v>
      </c>
      <c r="U80" t="s">
        <v>29</v>
      </c>
      <c r="V80" t="s">
        <v>1673</v>
      </c>
      <c r="W80" t="s">
        <v>1674</v>
      </c>
      <c r="X80" t="s">
        <v>1675</v>
      </c>
      <c r="Y80" t="s">
        <v>61</v>
      </c>
      <c r="Z80" t="s">
        <v>1676</v>
      </c>
      <c r="AA80" t="s">
        <v>290</v>
      </c>
      <c r="AB80">
        <v>33</v>
      </c>
      <c r="AC80">
        <v>5</v>
      </c>
      <c r="AE80">
        <v>90</v>
      </c>
      <c r="AH80" t="s">
        <v>31</v>
      </c>
    </row>
    <row r="81" spans="1:34" x14ac:dyDescent="0.25">
      <c r="A81">
        <v>80</v>
      </c>
      <c r="B81" s="5">
        <v>856357431</v>
      </c>
      <c r="C81" s="3">
        <v>8109619679</v>
      </c>
      <c r="D81">
        <v>7584</v>
      </c>
      <c r="E81" s="1" t="s">
        <v>1689</v>
      </c>
      <c r="F81" t="s">
        <v>291</v>
      </c>
      <c r="G81" t="s">
        <v>292</v>
      </c>
      <c r="H81">
        <v>31188</v>
      </c>
      <c r="I81">
        <v>39486682</v>
      </c>
      <c r="L81" s="2">
        <v>40327</v>
      </c>
      <c r="M81" s="3">
        <f t="shared" si="1"/>
        <v>2010</v>
      </c>
      <c r="N81" s="2" t="s">
        <v>28</v>
      </c>
      <c r="O81">
        <v>154</v>
      </c>
      <c r="P81" s="6">
        <v>7833</v>
      </c>
      <c r="Q81">
        <v>3916.5</v>
      </c>
      <c r="R81">
        <v>1566.6000000000001</v>
      </c>
      <c r="S81">
        <v>220</v>
      </c>
      <c r="T81" s="6">
        <v>517.44000000000005</v>
      </c>
      <c r="U81" t="s">
        <v>157</v>
      </c>
      <c r="V81" t="s">
        <v>1682</v>
      </c>
      <c r="W81" t="s">
        <v>1687</v>
      </c>
      <c r="X81" t="s">
        <v>1683</v>
      </c>
      <c r="Y81" t="s">
        <v>1679</v>
      </c>
      <c r="Z81" t="s">
        <v>1684</v>
      </c>
      <c r="AA81" t="s">
        <v>293</v>
      </c>
      <c r="AB81">
        <v>38</v>
      </c>
      <c r="AC81">
        <v>45</v>
      </c>
      <c r="AE81">
        <v>86</v>
      </c>
      <c r="AH81" t="s">
        <v>98</v>
      </c>
    </row>
    <row r="82" spans="1:34" x14ac:dyDescent="0.25">
      <c r="A82">
        <v>81</v>
      </c>
      <c r="B82" s="5">
        <v>778875609</v>
      </c>
      <c r="C82" s="5">
        <v>48887229405</v>
      </c>
      <c r="D82">
        <v>3259</v>
      </c>
      <c r="E82" s="1" t="s">
        <v>1688</v>
      </c>
      <c r="F82" t="s">
        <v>294</v>
      </c>
      <c r="G82" t="s">
        <v>295</v>
      </c>
      <c r="H82">
        <v>29585</v>
      </c>
      <c r="I82">
        <v>27566227</v>
      </c>
      <c r="L82" s="2">
        <v>40220</v>
      </c>
      <c r="M82" s="3">
        <f t="shared" si="1"/>
        <v>2010</v>
      </c>
      <c r="N82" s="2" t="s">
        <v>28</v>
      </c>
      <c r="O82">
        <v>228</v>
      </c>
      <c r="P82" s="6">
        <v>12377</v>
      </c>
      <c r="Q82">
        <v>6188.5</v>
      </c>
      <c r="R82">
        <v>2475.4</v>
      </c>
      <c r="S82">
        <v>308</v>
      </c>
      <c r="T82" s="6">
        <v>766.07999999999993</v>
      </c>
      <c r="U82" t="s">
        <v>92</v>
      </c>
      <c r="V82" t="s">
        <v>1686</v>
      </c>
      <c r="W82" t="s">
        <v>1678</v>
      </c>
      <c r="X82" t="s">
        <v>1683</v>
      </c>
      <c r="Y82" t="s">
        <v>1679</v>
      </c>
      <c r="Z82" t="s">
        <v>1684</v>
      </c>
      <c r="AA82" t="s">
        <v>296</v>
      </c>
      <c r="AB82">
        <v>55</v>
      </c>
      <c r="AC82">
        <v>5</v>
      </c>
      <c r="AE82">
        <v>60</v>
      </c>
      <c r="AH82" t="s">
        <v>36</v>
      </c>
    </row>
    <row r="83" spans="1:34" x14ac:dyDescent="0.25">
      <c r="A83">
        <v>82</v>
      </c>
      <c r="B83" s="5">
        <v>325916532</v>
      </c>
      <c r="C83" s="5">
        <v>84926158288</v>
      </c>
      <c r="D83">
        <v>1463</v>
      </c>
      <c r="E83" s="1" t="s">
        <v>1688</v>
      </c>
      <c r="F83" t="s">
        <v>297</v>
      </c>
      <c r="G83" t="s">
        <v>298</v>
      </c>
      <c r="H83">
        <v>31810</v>
      </c>
      <c r="I83">
        <v>43050334</v>
      </c>
      <c r="L83" s="2">
        <v>38380</v>
      </c>
      <c r="M83" s="3">
        <f t="shared" si="1"/>
        <v>2005</v>
      </c>
      <c r="N83" s="2">
        <v>40283</v>
      </c>
      <c r="O83">
        <v>156</v>
      </c>
      <c r="P83" s="6">
        <v>6677</v>
      </c>
      <c r="Q83">
        <v>3338.5</v>
      </c>
      <c r="R83">
        <v>1335.4</v>
      </c>
      <c r="S83">
        <v>264</v>
      </c>
      <c r="T83" s="6">
        <v>524.16</v>
      </c>
      <c r="U83" t="s">
        <v>127</v>
      </c>
      <c r="V83" t="s">
        <v>1686</v>
      </c>
      <c r="W83" t="s">
        <v>1685</v>
      </c>
      <c r="X83" t="s">
        <v>1683</v>
      </c>
      <c r="Y83" t="s">
        <v>1679</v>
      </c>
      <c r="Z83" t="s">
        <v>1684</v>
      </c>
      <c r="AA83" t="s">
        <v>299</v>
      </c>
      <c r="AB83">
        <v>121</v>
      </c>
      <c r="AC83">
        <v>47</v>
      </c>
      <c r="AE83">
        <v>148</v>
      </c>
      <c r="AH83" t="s">
        <v>57</v>
      </c>
    </row>
    <row r="84" spans="1:34" x14ac:dyDescent="0.25">
      <c r="A84">
        <v>83</v>
      </c>
      <c r="B84" s="5">
        <v>609252585</v>
      </c>
      <c r="C84" s="5">
        <v>86353701624</v>
      </c>
      <c r="D84">
        <v>5233</v>
      </c>
      <c r="E84" s="1" t="s">
        <v>1689</v>
      </c>
      <c r="F84" t="s">
        <v>300</v>
      </c>
      <c r="G84" t="s">
        <v>301</v>
      </c>
      <c r="H84">
        <v>32098</v>
      </c>
      <c r="I84">
        <v>46032692</v>
      </c>
      <c r="L84" s="2">
        <v>39330</v>
      </c>
      <c r="M84" s="3">
        <f t="shared" si="1"/>
        <v>2007</v>
      </c>
      <c r="N84" s="2" t="s">
        <v>28</v>
      </c>
      <c r="O84">
        <v>198</v>
      </c>
      <c r="P84" s="6">
        <v>6708</v>
      </c>
      <c r="Q84">
        <v>3354</v>
      </c>
      <c r="R84">
        <v>1341.6000000000001</v>
      </c>
      <c r="S84">
        <v>198</v>
      </c>
      <c r="T84" s="6">
        <v>665.28000000000009</v>
      </c>
      <c r="U84" t="s">
        <v>39</v>
      </c>
      <c r="V84" t="s">
        <v>1677</v>
      </c>
      <c r="W84" t="s">
        <v>1681</v>
      </c>
      <c r="X84" t="s">
        <v>1675</v>
      </c>
      <c r="Y84" t="s">
        <v>1679</v>
      </c>
      <c r="Z84" t="s">
        <v>1680</v>
      </c>
      <c r="AA84" t="s">
        <v>302</v>
      </c>
      <c r="AB84">
        <v>146</v>
      </c>
      <c r="AC84">
        <v>21</v>
      </c>
      <c r="AE84">
        <v>59</v>
      </c>
      <c r="AH84" t="s">
        <v>41</v>
      </c>
    </row>
    <row r="85" spans="1:34" x14ac:dyDescent="0.25">
      <c r="A85">
        <v>84</v>
      </c>
      <c r="B85" s="5">
        <v>237793259</v>
      </c>
      <c r="C85" s="5">
        <v>51774666970</v>
      </c>
      <c r="D85">
        <v>7677</v>
      </c>
      <c r="E85" s="1" t="s">
        <v>1689</v>
      </c>
      <c r="F85" t="s">
        <v>303</v>
      </c>
      <c r="G85" t="s">
        <v>304</v>
      </c>
      <c r="H85">
        <v>31055</v>
      </c>
      <c r="I85">
        <v>42283072</v>
      </c>
      <c r="L85" s="2">
        <v>39807</v>
      </c>
      <c r="M85" s="3">
        <f t="shared" si="1"/>
        <v>2008</v>
      </c>
      <c r="N85" s="2" t="s">
        <v>28</v>
      </c>
      <c r="O85">
        <v>175</v>
      </c>
      <c r="P85" s="6">
        <v>9326</v>
      </c>
      <c r="Q85">
        <v>4663</v>
      </c>
      <c r="R85">
        <v>1865.2</v>
      </c>
      <c r="S85">
        <v>220</v>
      </c>
      <c r="T85" s="6">
        <v>588</v>
      </c>
      <c r="U85" t="s">
        <v>140</v>
      </c>
      <c r="V85" t="s">
        <v>1682</v>
      </c>
      <c r="W85" t="s">
        <v>1678</v>
      </c>
      <c r="X85" t="s">
        <v>1683</v>
      </c>
      <c r="Y85" t="s">
        <v>1679</v>
      </c>
      <c r="Z85" t="s">
        <v>1684</v>
      </c>
      <c r="AA85" t="s">
        <v>305</v>
      </c>
      <c r="AB85">
        <v>89</v>
      </c>
      <c r="AC85">
        <v>50</v>
      </c>
      <c r="AE85">
        <v>123</v>
      </c>
      <c r="AH85" t="s">
        <v>36</v>
      </c>
    </row>
    <row r="86" spans="1:34" x14ac:dyDescent="0.25">
      <c r="A86">
        <v>85</v>
      </c>
      <c r="B86" s="5">
        <v>588172925</v>
      </c>
      <c r="C86" s="5">
        <v>16582949916</v>
      </c>
      <c r="D86">
        <v>2631</v>
      </c>
      <c r="E86" s="1" t="s">
        <v>1688</v>
      </c>
      <c r="F86" t="s">
        <v>306</v>
      </c>
      <c r="G86" t="s">
        <v>307</v>
      </c>
      <c r="H86">
        <v>29457</v>
      </c>
      <c r="I86">
        <v>25378805</v>
      </c>
      <c r="L86" s="2">
        <v>37181</v>
      </c>
      <c r="M86" s="3">
        <f t="shared" si="1"/>
        <v>2001</v>
      </c>
      <c r="N86" s="2" t="s">
        <v>28</v>
      </c>
      <c r="O86">
        <v>243</v>
      </c>
      <c r="P86" s="6">
        <v>20377</v>
      </c>
      <c r="Q86">
        <v>10188.5</v>
      </c>
      <c r="R86">
        <v>4075.4</v>
      </c>
      <c r="S86">
        <v>286</v>
      </c>
      <c r="T86" s="6">
        <v>816.48</v>
      </c>
      <c r="U86" t="s">
        <v>164</v>
      </c>
      <c r="V86" t="s">
        <v>1677</v>
      </c>
      <c r="W86" t="s">
        <v>1674</v>
      </c>
      <c r="X86" t="s">
        <v>1675</v>
      </c>
      <c r="Y86" t="s">
        <v>1679</v>
      </c>
      <c r="Z86" t="s">
        <v>1680</v>
      </c>
      <c r="AA86" t="s">
        <v>308</v>
      </c>
      <c r="AB86">
        <v>37</v>
      </c>
      <c r="AC86">
        <v>38</v>
      </c>
      <c r="AE86">
        <v>74</v>
      </c>
      <c r="AH86" t="s">
        <v>31</v>
      </c>
    </row>
    <row r="87" spans="1:34" x14ac:dyDescent="0.25">
      <c r="A87">
        <v>86</v>
      </c>
      <c r="B87" s="5">
        <v>973208232</v>
      </c>
      <c r="C87" s="5">
        <v>95043372192</v>
      </c>
      <c r="D87">
        <v>4743</v>
      </c>
      <c r="E87" s="1" t="s">
        <v>1688</v>
      </c>
      <c r="F87" t="s">
        <v>309</v>
      </c>
      <c r="G87" t="s">
        <v>310</v>
      </c>
      <c r="H87">
        <v>32281</v>
      </c>
      <c r="I87">
        <v>39894941</v>
      </c>
      <c r="L87" s="2">
        <v>38851</v>
      </c>
      <c r="M87" s="3">
        <f t="shared" si="1"/>
        <v>2006</v>
      </c>
      <c r="N87" s="2" t="s">
        <v>28</v>
      </c>
      <c r="O87">
        <v>205</v>
      </c>
      <c r="P87" s="6">
        <v>9062</v>
      </c>
      <c r="Q87">
        <v>4531</v>
      </c>
      <c r="R87">
        <v>1812.4</v>
      </c>
      <c r="S87">
        <v>308</v>
      </c>
      <c r="T87" s="6">
        <v>688.80000000000007</v>
      </c>
      <c r="U87" t="s">
        <v>39</v>
      </c>
      <c r="V87" t="s">
        <v>1677</v>
      </c>
      <c r="W87" t="s">
        <v>1681</v>
      </c>
      <c r="X87" t="s">
        <v>1675</v>
      </c>
      <c r="Y87" t="s">
        <v>1679</v>
      </c>
      <c r="Z87" t="s">
        <v>1680</v>
      </c>
      <c r="AA87" t="s">
        <v>311</v>
      </c>
      <c r="AB87">
        <v>40</v>
      </c>
      <c r="AC87">
        <v>9</v>
      </c>
      <c r="AE87">
        <v>67</v>
      </c>
      <c r="AH87" t="s">
        <v>41</v>
      </c>
    </row>
    <row r="88" spans="1:34" x14ac:dyDescent="0.25">
      <c r="A88">
        <v>87</v>
      </c>
      <c r="B88" s="5">
        <v>964370969</v>
      </c>
      <c r="C88" s="5">
        <v>10054001100</v>
      </c>
      <c r="D88">
        <v>1745</v>
      </c>
      <c r="E88" s="1" t="s">
        <v>1689</v>
      </c>
      <c r="F88" t="s">
        <v>312</v>
      </c>
      <c r="G88" t="s">
        <v>313</v>
      </c>
      <c r="H88">
        <v>28032</v>
      </c>
      <c r="I88">
        <v>29604908</v>
      </c>
      <c r="L88" s="2">
        <v>38167</v>
      </c>
      <c r="M88" s="3">
        <f t="shared" si="1"/>
        <v>2004</v>
      </c>
      <c r="N88" s="2">
        <v>41133</v>
      </c>
      <c r="O88">
        <v>151</v>
      </c>
      <c r="P88" s="6">
        <v>11613</v>
      </c>
      <c r="Q88">
        <v>5806.5</v>
      </c>
      <c r="R88">
        <v>2322.6</v>
      </c>
      <c r="S88">
        <v>264</v>
      </c>
      <c r="T88" s="6">
        <v>507.36</v>
      </c>
      <c r="U88" t="s">
        <v>68</v>
      </c>
      <c r="V88" t="s">
        <v>1686</v>
      </c>
      <c r="W88" t="s">
        <v>1681</v>
      </c>
      <c r="X88" t="s">
        <v>1683</v>
      </c>
      <c r="Y88" t="s">
        <v>1679</v>
      </c>
      <c r="Z88" t="s">
        <v>1684</v>
      </c>
      <c r="AA88" t="s">
        <v>314</v>
      </c>
      <c r="AB88">
        <v>111</v>
      </c>
      <c r="AC88">
        <v>38</v>
      </c>
      <c r="AE88">
        <v>73</v>
      </c>
      <c r="AH88" t="s">
        <v>41</v>
      </c>
    </row>
    <row r="89" spans="1:34" x14ac:dyDescent="0.25">
      <c r="A89">
        <v>88</v>
      </c>
      <c r="B89" s="5">
        <v>876700065</v>
      </c>
      <c r="C89" s="5">
        <v>39394659681</v>
      </c>
      <c r="D89">
        <v>4473</v>
      </c>
      <c r="E89" s="1" t="s">
        <v>1689</v>
      </c>
      <c r="F89" t="s">
        <v>315</v>
      </c>
      <c r="G89" t="s">
        <v>316</v>
      </c>
      <c r="H89">
        <v>29833</v>
      </c>
      <c r="I89">
        <v>45181737</v>
      </c>
      <c r="L89" s="2">
        <v>40631</v>
      </c>
      <c r="M89" s="3">
        <f t="shared" si="1"/>
        <v>2011</v>
      </c>
      <c r="N89" s="2" t="s">
        <v>28</v>
      </c>
      <c r="O89">
        <v>154</v>
      </c>
      <c r="P89" s="6">
        <v>4182</v>
      </c>
      <c r="Q89">
        <v>2091</v>
      </c>
      <c r="R89">
        <v>836.40000000000009</v>
      </c>
      <c r="S89">
        <v>286</v>
      </c>
      <c r="T89" s="6">
        <v>517.44000000000005</v>
      </c>
      <c r="U89" t="s">
        <v>317</v>
      </c>
      <c r="V89" t="s">
        <v>1680</v>
      </c>
      <c r="W89" t="s">
        <v>1681</v>
      </c>
      <c r="X89" t="s">
        <v>1675</v>
      </c>
      <c r="Y89" t="s">
        <v>61</v>
      </c>
      <c r="Z89" t="s">
        <v>1684</v>
      </c>
      <c r="AA89" t="s">
        <v>318</v>
      </c>
      <c r="AB89">
        <v>117</v>
      </c>
      <c r="AC89">
        <v>37</v>
      </c>
      <c r="AE89">
        <v>93</v>
      </c>
      <c r="AH89" t="s">
        <v>41</v>
      </c>
    </row>
    <row r="90" spans="1:34" x14ac:dyDescent="0.25">
      <c r="A90">
        <v>89</v>
      </c>
      <c r="B90" s="5">
        <v>233923051</v>
      </c>
      <c r="C90" s="5">
        <v>20250511364</v>
      </c>
      <c r="D90">
        <v>7936</v>
      </c>
      <c r="E90" s="1" t="s">
        <v>1688</v>
      </c>
      <c r="F90" t="s">
        <v>319</v>
      </c>
      <c r="G90" t="s">
        <v>320</v>
      </c>
      <c r="H90">
        <v>36450</v>
      </c>
      <c r="I90">
        <v>27207970</v>
      </c>
      <c r="L90" s="2">
        <v>43020</v>
      </c>
      <c r="M90" s="3">
        <f t="shared" si="1"/>
        <v>2017</v>
      </c>
      <c r="N90" s="2">
        <v>43105</v>
      </c>
      <c r="O90">
        <v>150</v>
      </c>
      <c r="P90" s="6">
        <v>18442</v>
      </c>
      <c r="Q90">
        <v>9221</v>
      </c>
      <c r="R90">
        <v>3688.4</v>
      </c>
      <c r="S90">
        <v>242</v>
      </c>
      <c r="T90" s="6">
        <v>504</v>
      </c>
      <c r="U90" t="s">
        <v>96</v>
      </c>
      <c r="V90" t="s">
        <v>1686</v>
      </c>
      <c r="W90" t="s">
        <v>1687</v>
      </c>
      <c r="X90" t="s">
        <v>1683</v>
      </c>
      <c r="Y90" t="s">
        <v>1679</v>
      </c>
      <c r="Z90" t="s">
        <v>1684</v>
      </c>
      <c r="AA90" t="s">
        <v>321</v>
      </c>
      <c r="AB90">
        <v>23</v>
      </c>
      <c r="AC90">
        <v>5</v>
      </c>
      <c r="AE90">
        <v>19</v>
      </c>
      <c r="AH90" t="s">
        <v>98</v>
      </c>
    </row>
    <row r="91" spans="1:34" x14ac:dyDescent="0.25">
      <c r="A91">
        <v>90</v>
      </c>
      <c r="B91" s="5">
        <v>887626776</v>
      </c>
      <c r="C91" s="5">
        <v>36754977877</v>
      </c>
      <c r="D91">
        <v>1952</v>
      </c>
      <c r="E91" s="1" t="s">
        <v>1689</v>
      </c>
      <c r="F91" t="s">
        <v>322</v>
      </c>
      <c r="G91" t="s">
        <v>323</v>
      </c>
      <c r="H91">
        <v>29493</v>
      </c>
      <c r="I91">
        <v>20922600</v>
      </c>
      <c r="L91" s="2">
        <v>42973</v>
      </c>
      <c r="M91" s="3">
        <f t="shared" si="1"/>
        <v>2017</v>
      </c>
      <c r="N91" s="2" t="s">
        <v>28</v>
      </c>
      <c r="O91">
        <v>176</v>
      </c>
      <c r="P91" s="6">
        <v>12101</v>
      </c>
      <c r="Q91">
        <v>6050.5</v>
      </c>
      <c r="R91">
        <v>2420.2000000000003</v>
      </c>
      <c r="S91">
        <v>176</v>
      </c>
      <c r="T91" s="6">
        <v>591.36</v>
      </c>
      <c r="U91" t="s">
        <v>39</v>
      </c>
      <c r="V91" t="s">
        <v>1677</v>
      </c>
      <c r="W91" t="s">
        <v>1681</v>
      </c>
      <c r="X91" t="s">
        <v>1675</v>
      </c>
      <c r="Y91" t="s">
        <v>1679</v>
      </c>
      <c r="Z91" t="s">
        <v>1680</v>
      </c>
      <c r="AA91" t="s">
        <v>324</v>
      </c>
      <c r="AB91">
        <v>37</v>
      </c>
      <c r="AC91">
        <v>39</v>
      </c>
      <c r="AE91">
        <v>103</v>
      </c>
      <c r="AH91" t="s">
        <v>41</v>
      </c>
    </row>
    <row r="92" spans="1:34" x14ac:dyDescent="0.25">
      <c r="A92">
        <v>91</v>
      </c>
      <c r="B92" s="5">
        <v>933126418</v>
      </c>
      <c r="C92" s="5">
        <v>53299149773</v>
      </c>
      <c r="D92">
        <v>7759</v>
      </c>
      <c r="E92" s="1" t="s">
        <v>1689</v>
      </c>
      <c r="F92" t="s">
        <v>325</v>
      </c>
      <c r="G92" t="s">
        <v>326</v>
      </c>
      <c r="H92">
        <v>32711</v>
      </c>
      <c r="I92">
        <v>48130849</v>
      </c>
      <c r="L92" s="2">
        <v>39281</v>
      </c>
      <c r="M92" s="3">
        <f t="shared" si="1"/>
        <v>2007</v>
      </c>
      <c r="N92" s="2" t="s">
        <v>28</v>
      </c>
      <c r="O92">
        <v>247</v>
      </c>
      <c r="P92" s="6">
        <v>2247</v>
      </c>
      <c r="Q92">
        <v>1123.5</v>
      </c>
      <c r="R92">
        <v>449.40000000000003</v>
      </c>
      <c r="S92">
        <v>264</v>
      </c>
      <c r="T92" s="6">
        <v>829.92000000000007</v>
      </c>
      <c r="U92" t="s">
        <v>96</v>
      </c>
      <c r="V92" t="s">
        <v>1686</v>
      </c>
      <c r="W92" t="s">
        <v>1687</v>
      </c>
      <c r="X92" t="s">
        <v>1683</v>
      </c>
      <c r="Y92" t="s">
        <v>1679</v>
      </c>
      <c r="Z92" t="s">
        <v>1684</v>
      </c>
      <c r="AA92" t="s">
        <v>327</v>
      </c>
      <c r="AB92">
        <v>87</v>
      </c>
      <c r="AC92">
        <v>10</v>
      </c>
      <c r="AE92">
        <v>69</v>
      </c>
      <c r="AH92" t="s">
        <v>98</v>
      </c>
    </row>
    <row r="93" spans="1:34" x14ac:dyDescent="0.25">
      <c r="A93">
        <v>92</v>
      </c>
      <c r="B93" s="5">
        <v>633403160</v>
      </c>
      <c r="C93" s="5">
        <v>77304603107</v>
      </c>
      <c r="D93">
        <v>5359</v>
      </c>
      <c r="E93" s="1" t="s">
        <v>1689</v>
      </c>
      <c r="F93" t="s">
        <v>328</v>
      </c>
      <c r="G93" t="s">
        <v>329</v>
      </c>
      <c r="H93">
        <v>29378</v>
      </c>
      <c r="I93">
        <v>40694508</v>
      </c>
      <c r="L93" s="2">
        <v>39373</v>
      </c>
      <c r="M93" s="3">
        <f t="shared" si="1"/>
        <v>2007</v>
      </c>
      <c r="N93" s="2" t="s">
        <v>28</v>
      </c>
      <c r="O93">
        <v>229</v>
      </c>
      <c r="P93" s="6">
        <v>15433</v>
      </c>
      <c r="Q93">
        <v>7716.5</v>
      </c>
      <c r="R93">
        <v>3086.6000000000004</v>
      </c>
      <c r="S93">
        <v>308</v>
      </c>
      <c r="T93" s="6">
        <v>769.44</v>
      </c>
      <c r="U93" t="s">
        <v>164</v>
      </c>
      <c r="V93" t="s">
        <v>1677</v>
      </c>
      <c r="W93" t="s">
        <v>1674</v>
      </c>
      <c r="X93" t="s">
        <v>1675</v>
      </c>
      <c r="Y93" t="s">
        <v>1679</v>
      </c>
      <c r="Z93" t="s">
        <v>1680</v>
      </c>
      <c r="AA93" t="s">
        <v>330</v>
      </c>
      <c r="AB93">
        <v>43</v>
      </c>
      <c r="AC93">
        <v>13</v>
      </c>
      <c r="AE93">
        <v>121</v>
      </c>
      <c r="AH93" t="s">
        <v>31</v>
      </c>
    </row>
    <row r="94" spans="1:34" x14ac:dyDescent="0.25">
      <c r="A94">
        <v>93</v>
      </c>
      <c r="B94" s="5">
        <v>593399215</v>
      </c>
      <c r="C94" s="5">
        <v>99686161948</v>
      </c>
      <c r="D94">
        <v>6490</v>
      </c>
      <c r="E94" s="1" t="s">
        <v>1689</v>
      </c>
      <c r="F94" t="s">
        <v>331</v>
      </c>
      <c r="G94" t="s">
        <v>332</v>
      </c>
      <c r="H94">
        <v>36031</v>
      </c>
      <c r="I94">
        <v>26900299</v>
      </c>
      <c r="L94" s="2">
        <v>42601</v>
      </c>
      <c r="M94" s="3">
        <f t="shared" si="1"/>
        <v>2016</v>
      </c>
      <c r="N94" s="2" t="s">
        <v>28</v>
      </c>
      <c r="O94">
        <v>225</v>
      </c>
      <c r="P94" s="6">
        <v>4933</v>
      </c>
      <c r="Q94">
        <v>2466.5</v>
      </c>
      <c r="R94">
        <v>986.6</v>
      </c>
      <c r="S94">
        <v>198</v>
      </c>
      <c r="T94" s="6">
        <v>756</v>
      </c>
      <c r="U94" t="s">
        <v>64</v>
      </c>
      <c r="V94" t="s">
        <v>1682</v>
      </c>
      <c r="W94" t="s">
        <v>1685</v>
      </c>
      <c r="X94" t="s">
        <v>1683</v>
      </c>
      <c r="Y94" t="s">
        <v>1679</v>
      </c>
      <c r="Z94" t="s">
        <v>1684</v>
      </c>
      <c r="AA94" t="s">
        <v>333</v>
      </c>
      <c r="AB94">
        <v>37</v>
      </c>
      <c r="AC94">
        <v>45</v>
      </c>
      <c r="AE94">
        <v>171</v>
      </c>
      <c r="AH94" t="s">
        <v>57</v>
      </c>
    </row>
    <row r="95" spans="1:34" x14ac:dyDescent="0.25">
      <c r="A95">
        <v>94</v>
      </c>
      <c r="B95" s="5">
        <v>526758863</v>
      </c>
      <c r="C95" s="5">
        <v>69895817206</v>
      </c>
      <c r="D95">
        <v>3060</v>
      </c>
      <c r="E95" s="1" t="s">
        <v>1688</v>
      </c>
      <c r="F95" t="s">
        <v>334</v>
      </c>
      <c r="G95" t="s">
        <v>335</v>
      </c>
      <c r="H95">
        <v>27096</v>
      </c>
      <c r="I95">
        <v>27386367</v>
      </c>
      <c r="L95" s="2">
        <v>38200</v>
      </c>
      <c r="M95" s="3">
        <f t="shared" si="1"/>
        <v>2004</v>
      </c>
      <c r="N95" s="2" t="s">
        <v>28</v>
      </c>
      <c r="O95">
        <v>229</v>
      </c>
      <c r="P95" s="6">
        <v>23792</v>
      </c>
      <c r="Q95">
        <v>11896</v>
      </c>
      <c r="R95">
        <v>4758.4000000000005</v>
      </c>
      <c r="S95">
        <v>220</v>
      </c>
      <c r="T95" s="6">
        <v>769.44</v>
      </c>
      <c r="U95" t="s">
        <v>172</v>
      </c>
      <c r="V95" t="s">
        <v>1686</v>
      </c>
      <c r="W95" t="s">
        <v>1674</v>
      </c>
      <c r="X95" t="s">
        <v>1683</v>
      </c>
      <c r="Y95" t="s">
        <v>1679</v>
      </c>
      <c r="Z95" t="s">
        <v>1684</v>
      </c>
      <c r="AA95" t="s">
        <v>336</v>
      </c>
      <c r="AB95">
        <v>115</v>
      </c>
      <c r="AC95">
        <v>35</v>
      </c>
      <c r="AE95">
        <v>145</v>
      </c>
      <c r="AH95" t="s">
        <v>31</v>
      </c>
    </row>
    <row r="96" spans="1:34" x14ac:dyDescent="0.25">
      <c r="A96">
        <v>95</v>
      </c>
      <c r="B96" s="5">
        <v>343497029</v>
      </c>
      <c r="C96" s="5">
        <v>85220225281</v>
      </c>
      <c r="D96">
        <v>5623</v>
      </c>
      <c r="E96" s="1" t="s">
        <v>1688</v>
      </c>
      <c r="F96" t="s">
        <v>337</v>
      </c>
      <c r="G96" t="s">
        <v>338</v>
      </c>
      <c r="H96">
        <v>36339</v>
      </c>
      <c r="I96">
        <v>49319901</v>
      </c>
      <c r="L96" s="2">
        <v>42909</v>
      </c>
      <c r="M96" s="3">
        <f t="shared" si="1"/>
        <v>2017</v>
      </c>
      <c r="N96" s="2">
        <v>43105</v>
      </c>
      <c r="O96">
        <v>181</v>
      </c>
      <c r="P96" s="6">
        <v>12946</v>
      </c>
      <c r="Q96">
        <v>6473</v>
      </c>
      <c r="R96">
        <v>2589.2000000000003</v>
      </c>
      <c r="S96">
        <v>286</v>
      </c>
      <c r="T96" s="6">
        <v>608.16</v>
      </c>
      <c r="U96" t="s">
        <v>172</v>
      </c>
      <c r="V96" t="s">
        <v>1686</v>
      </c>
      <c r="W96" t="s">
        <v>1674</v>
      </c>
      <c r="X96" t="s">
        <v>1683</v>
      </c>
      <c r="Y96" t="s">
        <v>1679</v>
      </c>
      <c r="Z96" t="s">
        <v>1684</v>
      </c>
      <c r="AA96" t="s">
        <v>339</v>
      </c>
      <c r="AB96">
        <v>94</v>
      </c>
      <c r="AC96">
        <v>16</v>
      </c>
      <c r="AE96">
        <v>124</v>
      </c>
      <c r="AH96" t="s">
        <v>31</v>
      </c>
    </row>
    <row r="97" spans="1:34" x14ac:dyDescent="0.25">
      <c r="A97">
        <v>96</v>
      </c>
      <c r="B97" s="5">
        <v>927070739</v>
      </c>
      <c r="C97" s="5">
        <v>24497830089</v>
      </c>
      <c r="D97">
        <v>7131</v>
      </c>
      <c r="E97" s="1" t="s">
        <v>1688</v>
      </c>
      <c r="F97" t="s">
        <v>340</v>
      </c>
      <c r="G97" t="s">
        <v>341</v>
      </c>
      <c r="H97">
        <v>28401</v>
      </c>
      <c r="I97">
        <v>43476160</v>
      </c>
      <c r="L97" s="2">
        <v>38059</v>
      </c>
      <c r="M97" s="3">
        <f t="shared" si="1"/>
        <v>2004</v>
      </c>
      <c r="N97" s="2">
        <v>38416</v>
      </c>
      <c r="O97">
        <v>204</v>
      </c>
      <c r="P97" s="6">
        <v>2952</v>
      </c>
      <c r="Q97">
        <v>1476</v>
      </c>
      <c r="R97">
        <v>590.4</v>
      </c>
      <c r="S97">
        <v>286</v>
      </c>
      <c r="T97" s="6">
        <v>685.44</v>
      </c>
      <c r="U97" t="s">
        <v>51</v>
      </c>
      <c r="V97" t="s">
        <v>1682</v>
      </c>
      <c r="W97" t="s">
        <v>1674</v>
      </c>
      <c r="X97" t="s">
        <v>1683</v>
      </c>
      <c r="Y97" t="s">
        <v>1679</v>
      </c>
      <c r="Z97" t="s">
        <v>1684</v>
      </c>
      <c r="AA97" t="s">
        <v>342</v>
      </c>
      <c r="AB97">
        <v>55</v>
      </c>
      <c r="AC97">
        <v>12</v>
      </c>
      <c r="AE97">
        <v>113</v>
      </c>
      <c r="AH97" t="s">
        <v>31</v>
      </c>
    </row>
    <row r="98" spans="1:34" x14ac:dyDescent="0.25">
      <c r="A98">
        <v>97</v>
      </c>
      <c r="B98" s="5">
        <v>602013614</v>
      </c>
      <c r="C98" s="5">
        <v>61274119929</v>
      </c>
      <c r="D98">
        <v>4257</v>
      </c>
      <c r="E98" s="1" t="s">
        <v>1688</v>
      </c>
      <c r="F98" t="s">
        <v>343</v>
      </c>
      <c r="G98" t="s">
        <v>344</v>
      </c>
      <c r="H98">
        <v>35584</v>
      </c>
      <c r="I98">
        <v>22471851</v>
      </c>
      <c r="L98" s="2">
        <v>42154</v>
      </c>
      <c r="M98" s="3">
        <f t="shared" si="1"/>
        <v>2015</v>
      </c>
      <c r="N98" s="2" t="s">
        <v>28</v>
      </c>
      <c r="O98">
        <v>185</v>
      </c>
      <c r="P98" s="6">
        <v>22386</v>
      </c>
      <c r="Q98">
        <v>11193</v>
      </c>
      <c r="R98">
        <v>4477.2</v>
      </c>
      <c r="S98">
        <v>264</v>
      </c>
      <c r="T98" s="6">
        <v>621.6</v>
      </c>
      <c r="U98" t="s">
        <v>164</v>
      </c>
      <c r="V98" t="s">
        <v>1677</v>
      </c>
      <c r="W98" t="s">
        <v>1674</v>
      </c>
      <c r="X98" t="s">
        <v>1675</v>
      </c>
      <c r="Y98" t="s">
        <v>1679</v>
      </c>
      <c r="Z98" t="s">
        <v>1680</v>
      </c>
      <c r="AA98" t="s">
        <v>345</v>
      </c>
      <c r="AB98">
        <v>20</v>
      </c>
      <c r="AC98">
        <v>4</v>
      </c>
      <c r="AE98">
        <v>54</v>
      </c>
      <c r="AH98" t="s">
        <v>31</v>
      </c>
    </row>
    <row r="99" spans="1:34" x14ac:dyDescent="0.25">
      <c r="A99">
        <v>98</v>
      </c>
      <c r="B99" s="5">
        <v>117694466</v>
      </c>
      <c r="C99" s="5">
        <v>37828340622</v>
      </c>
      <c r="D99">
        <v>1888</v>
      </c>
      <c r="E99" s="1" t="s">
        <v>1688</v>
      </c>
      <c r="F99" t="s">
        <v>346</v>
      </c>
      <c r="G99" t="s">
        <v>347</v>
      </c>
      <c r="H99">
        <v>27113</v>
      </c>
      <c r="I99">
        <v>43530569</v>
      </c>
      <c r="L99" s="2">
        <v>40540</v>
      </c>
      <c r="M99" s="3">
        <f t="shared" si="1"/>
        <v>2010</v>
      </c>
      <c r="N99" s="2" t="s">
        <v>28</v>
      </c>
      <c r="O99">
        <v>155</v>
      </c>
      <c r="P99" s="6">
        <v>5026</v>
      </c>
      <c r="Q99">
        <v>2513</v>
      </c>
      <c r="R99">
        <v>1005.2</v>
      </c>
      <c r="S99">
        <v>242</v>
      </c>
      <c r="T99" s="6">
        <v>520.80000000000007</v>
      </c>
      <c r="U99" t="s">
        <v>110</v>
      </c>
      <c r="V99" t="s">
        <v>1680</v>
      </c>
      <c r="W99" t="s">
        <v>1687</v>
      </c>
      <c r="X99" t="s">
        <v>1675</v>
      </c>
      <c r="Y99" t="s">
        <v>61</v>
      </c>
      <c r="Z99" t="s">
        <v>1676</v>
      </c>
      <c r="AA99" t="s">
        <v>348</v>
      </c>
      <c r="AB99">
        <v>124</v>
      </c>
      <c r="AC99">
        <v>39</v>
      </c>
      <c r="AE99">
        <v>195</v>
      </c>
      <c r="AH99" t="s">
        <v>98</v>
      </c>
    </row>
    <row r="100" spans="1:34" x14ac:dyDescent="0.25">
      <c r="A100">
        <v>99</v>
      </c>
      <c r="B100" s="5">
        <v>509679525</v>
      </c>
      <c r="C100" s="5">
        <v>85240340884</v>
      </c>
      <c r="D100">
        <v>4719</v>
      </c>
      <c r="E100" s="1" t="s">
        <v>1688</v>
      </c>
      <c r="F100" t="s">
        <v>349</v>
      </c>
      <c r="G100" t="s">
        <v>298</v>
      </c>
      <c r="H100">
        <v>32796</v>
      </c>
      <c r="I100">
        <v>31298290</v>
      </c>
      <c r="L100" s="2">
        <v>40859</v>
      </c>
      <c r="M100" s="3">
        <f t="shared" si="1"/>
        <v>2011</v>
      </c>
      <c r="N100" s="2" t="s">
        <v>28</v>
      </c>
      <c r="O100">
        <v>206</v>
      </c>
      <c r="P100" s="6">
        <v>18763</v>
      </c>
      <c r="Q100">
        <v>9381.5</v>
      </c>
      <c r="R100">
        <v>3752.6000000000004</v>
      </c>
      <c r="S100">
        <v>154</v>
      </c>
      <c r="T100" s="6">
        <v>692.16</v>
      </c>
      <c r="U100" t="s">
        <v>68</v>
      </c>
      <c r="V100" t="s">
        <v>1686</v>
      </c>
      <c r="W100" t="s">
        <v>1681</v>
      </c>
      <c r="X100" t="s">
        <v>1683</v>
      </c>
      <c r="Y100" t="s">
        <v>1679</v>
      </c>
      <c r="Z100" t="s">
        <v>1684</v>
      </c>
      <c r="AA100" t="s">
        <v>350</v>
      </c>
      <c r="AB100">
        <v>74</v>
      </c>
      <c r="AC100">
        <v>25</v>
      </c>
      <c r="AE100">
        <v>23</v>
      </c>
      <c r="AH100" t="s">
        <v>41</v>
      </c>
    </row>
    <row r="101" spans="1:34" x14ac:dyDescent="0.25">
      <c r="A101">
        <v>100</v>
      </c>
      <c r="B101" s="5">
        <v>865518735</v>
      </c>
      <c r="C101" s="5">
        <v>43165902894</v>
      </c>
      <c r="D101">
        <v>2245</v>
      </c>
      <c r="E101" s="1" t="s">
        <v>1689</v>
      </c>
      <c r="F101" t="s">
        <v>351</v>
      </c>
      <c r="G101" t="s">
        <v>352</v>
      </c>
      <c r="H101">
        <v>25800</v>
      </c>
      <c r="I101">
        <v>25475749</v>
      </c>
      <c r="L101" s="2">
        <v>38315</v>
      </c>
      <c r="M101" s="3">
        <f t="shared" si="1"/>
        <v>2004</v>
      </c>
      <c r="N101" s="2" t="s">
        <v>28</v>
      </c>
      <c r="O101">
        <v>177</v>
      </c>
      <c r="P101" s="6">
        <v>1961</v>
      </c>
      <c r="Q101">
        <v>980.5</v>
      </c>
      <c r="R101">
        <v>392.20000000000005</v>
      </c>
      <c r="S101">
        <v>286</v>
      </c>
      <c r="T101" s="6">
        <v>594.71999999999991</v>
      </c>
      <c r="U101" t="s">
        <v>172</v>
      </c>
      <c r="V101" t="s">
        <v>1686</v>
      </c>
      <c r="W101" t="s">
        <v>1674</v>
      </c>
      <c r="X101" t="s">
        <v>1683</v>
      </c>
      <c r="Y101" t="s">
        <v>1679</v>
      </c>
      <c r="Z101" t="s">
        <v>1684</v>
      </c>
      <c r="AA101" t="s">
        <v>353</v>
      </c>
      <c r="AB101">
        <v>22</v>
      </c>
      <c r="AC101">
        <v>23</v>
      </c>
      <c r="AE101">
        <v>98</v>
      </c>
      <c r="AH101" t="s">
        <v>31</v>
      </c>
    </row>
    <row r="102" spans="1:34" x14ac:dyDescent="0.25">
      <c r="A102">
        <v>101</v>
      </c>
      <c r="B102" s="5">
        <v>694331072</v>
      </c>
      <c r="C102" s="3">
        <v>9003887147</v>
      </c>
      <c r="D102">
        <v>5102</v>
      </c>
      <c r="E102" s="1" t="s">
        <v>1688</v>
      </c>
      <c r="F102" t="s">
        <v>354</v>
      </c>
      <c r="G102" t="s">
        <v>355</v>
      </c>
      <c r="H102">
        <v>25689</v>
      </c>
      <c r="I102">
        <v>27741357</v>
      </c>
      <c r="L102" s="2">
        <v>35434</v>
      </c>
      <c r="M102" s="3">
        <f t="shared" si="1"/>
        <v>1997</v>
      </c>
      <c r="N102" s="2" t="s">
        <v>28</v>
      </c>
      <c r="O102">
        <v>179</v>
      </c>
      <c r="P102" s="6">
        <v>21647</v>
      </c>
      <c r="Q102">
        <v>10823.5</v>
      </c>
      <c r="R102">
        <v>4329.4000000000005</v>
      </c>
      <c r="S102">
        <v>308</v>
      </c>
      <c r="T102" s="6">
        <v>601.44000000000005</v>
      </c>
      <c r="U102" t="s">
        <v>140</v>
      </c>
      <c r="V102" t="s">
        <v>1682</v>
      </c>
      <c r="W102" t="s">
        <v>1678</v>
      </c>
      <c r="X102" t="s">
        <v>1683</v>
      </c>
      <c r="Y102" t="s">
        <v>1679</v>
      </c>
      <c r="Z102" t="s">
        <v>1684</v>
      </c>
      <c r="AA102" t="s">
        <v>356</v>
      </c>
      <c r="AB102">
        <v>54</v>
      </c>
      <c r="AC102">
        <v>32</v>
      </c>
      <c r="AE102">
        <v>164</v>
      </c>
      <c r="AH102" t="s">
        <v>36</v>
      </c>
    </row>
    <row r="103" spans="1:34" x14ac:dyDescent="0.25">
      <c r="A103">
        <v>102</v>
      </c>
      <c r="B103" s="5">
        <v>286981266</v>
      </c>
      <c r="C103" s="5">
        <v>67211879291</v>
      </c>
      <c r="D103">
        <v>1404</v>
      </c>
      <c r="E103" s="1" t="s">
        <v>1688</v>
      </c>
      <c r="F103" t="s">
        <v>357</v>
      </c>
      <c r="G103" t="s">
        <v>358</v>
      </c>
      <c r="H103">
        <v>34312</v>
      </c>
      <c r="I103">
        <v>35984704</v>
      </c>
      <c r="L103" s="2">
        <v>40882</v>
      </c>
      <c r="M103" s="3">
        <f t="shared" si="1"/>
        <v>2011</v>
      </c>
      <c r="N103" s="2" t="s">
        <v>28</v>
      </c>
      <c r="O103">
        <v>151</v>
      </c>
      <c r="P103" s="6">
        <v>2378</v>
      </c>
      <c r="Q103">
        <v>1189</v>
      </c>
      <c r="R103">
        <v>475.6</v>
      </c>
      <c r="S103">
        <v>220</v>
      </c>
      <c r="T103" s="6">
        <v>507.36</v>
      </c>
      <c r="U103" t="s">
        <v>168</v>
      </c>
      <c r="V103" t="s">
        <v>1677</v>
      </c>
      <c r="W103" t="s">
        <v>1687</v>
      </c>
      <c r="X103" t="s">
        <v>1675</v>
      </c>
      <c r="Y103" t="s">
        <v>1679</v>
      </c>
      <c r="Z103" t="s">
        <v>1680</v>
      </c>
      <c r="AA103" t="s">
        <v>359</v>
      </c>
      <c r="AB103">
        <v>136</v>
      </c>
      <c r="AC103">
        <v>59</v>
      </c>
      <c r="AE103">
        <v>158</v>
      </c>
      <c r="AH103" t="s">
        <v>98</v>
      </c>
    </row>
    <row r="104" spans="1:34" x14ac:dyDescent="0.25">
      <c r="A104">
        <v>103</v>
      </c>
      <c r="B104" s="5">
        <v>686523389</v>
      </c>
      <c r="C104" s="5">
        <v>99456233287</v>
      </c>
      <c r="D104">
        <v>6395</v>
      </c>
      <c r="E104" s="1" t="s">
        <v>1688</v>
      </c>
      <c r="F104" t="s">
        <v>360</v>
      </c>
      <c r="G104" t="s">
        <v>361</v>
      </c>
      <c r="H104">
        <v>31467</v>
      </c>
      <c r="I104">
        <v>37900471</v>
      </c>
      <c r="L104" s="2">
        <v>38168</v>
      </c>
      <c r="M104" s="3">
        <f t="shared" si="1"/>
        <v>2004</v>
      </c>
      <c r="N104" s="2" t="s">
        <v>28</v>
      </c>
      <c r="O104">
        <v>168</v>
      </c>
      <c r="P104" s="6">
        <v>5799</v>
      </c>
      <c r="Q104">
        <v>2899.5</v>
      </c>
      <c r="R104">
        <v>1159.8</v>
      </c>
      <c r="S104">
        <v>286</v>
      </c>
      <c r="T104" s="6">
        <v>564.48</v>
      </c>
      <c r="U104" t="s">
        <v>110</v>
      </c>
      <c r="V104" t="s">
        <v>1680</v>
      </c>
      <c r="W104" t="s">
        <v>1687</v>
      </c>
      <c r="X104" t="s">
        <v>1675</v>
      </c>
      <c r="Y104" t="s">
        <v>61</v>
      </c>
      <c r="Z104" t="s">
        <v>1676</v>
      </c>
      <c r="AA104" t="s">
        <v>362</v>
      </c>
      <c r="AB104">
        <v>50</v>
      </c>
      <c r="AC104">
        <v>27</v>
      </c>
      <c r="AE104">
        <v>171</v>
      </c>
      <c r="AH104" t="s">
        <v>98</v>
      </c>
    </row>
    <row r="105" spans="1:34" x14ac:dyDescent="0.25">
      <c r="A105">
        <v>104</v>
      </c>
      <c r="B105" s="5">
        <v>150580874</v>
      </c>
      <c r="C105" s="5">
        <v>91737639304</v>
      </c>
      <c r="D105">
        <v>6069</v>
      </c>
      <c r="E105" s="1" t="s">
        <v>1689</v>
      </c>
      <c r="F105" t="s">
        <v>363</v>
      </c>
      <c r="G105" t="s">
        <v>364</v>
      </c>
      <c r="H105">
        <v>30260</v>
      </c>
      <c r="I105">
        <v>41629679</v>
      </c>
      <c r="L105" s="2">
        <v>39246</v>
      </c>
      <c r="M105" s="3">
        <f t="shared" si="1"/>
        <v>2007</v>
      </c>
      <c r="N105" s="2">
        <v>41348</v>
      </c>
      <c r="O105">
        <v>210</v>
      </c>
      <c r="P105" s="6">
        <v>21660</v>
      </c>
      <c r="Q105">
        <v>10830</v>
      </c>
      <c r="R105">
        <v>4332</v>
      </c>
      <c r="S105">
        <v>154</v>
      </c>
      <c r="T105" s="6">
        <v>705.6</v>
      </c>
      <c r="U105" t="s">
        <v>168</v>
      </c>
      <c r="V105" t="s">
        <v>1677</v>
      </c>
      <c r="W105" t="s">
        <v>1687</v>
      </c>
      <c r="X105" t="s">
        <v>1675</v>
      </c>
      <c r="Y105" t="s">
        <v>1679</v>
      </c>
      <c r="Z105" t="s">
        <v>1680</v>
      </c>
      <c r="AA105" t="s">
        <v>365</v>
      </c>
      <c r="AB105">
        <v>120</v>
      </c>
      <c r="AC105">
        <v>33</v>
      </c>
      <c r="AE105">
        <v>26</v>
      </c>
      <c r="AH105" t="s">
        <v>98</v>
      </c>
    </row>
    <row r="106" spans="1:34" x14ac:dyDescent="0.25">
      <c r="A106">
        <v>105</v>
      </c>
      <c r="B106" s="5">
        <v>415507616</v>
      </c>
      <c r="C106" s="5">
        <v>30994676682</v>
      </c>
      <c r="D106">
        <v>7903</v>
      </c>
      <c r="E106" s="1" t="s">
        <v>1689</v>
      </c>
      <c r="F106" t="s">
        <v>366</v>
      </c>
      <c r="G106" t="s">
        <v>367</v>
      </c>
      <c r="H106">
        <v>33710</v>
      </c>
      <c r="I106">
        <v>28302092</v>
      </c>
      <c r="L106" s="2">
        <v>40280</v>
      </c>
      <c r="M106" s="3">
        <f t="shared" si="1"/>
        <v>2010</v>
      </c>
      <c r="N106" s="2" t="s">
        <v>28</v>
      </c>
      <c r="O106">
        <v>208</v>
      </c>
      <c r="P106" s="6">
        <v>21315</v>
      </c>
      <c r="Q106">
        <v>10657.5</v>
      </c>
      <c r="R106">
        <v>4263</v>
      </c>
      <c r="S106">
        <v>286</v>
      </c>
      <c r="T106" s="6">
        <v>698.88</v>
      </c>
      <c r="U106" t="s">
        <v>168</v>
      </c>
      <c r="V106" t="s">
        <v>1677</v>
      </c>
      <c r="W106" t="s">
        <v>1687</v>
      </c>
      <c r="X106" t="s">
        <v>1675</v>
      </c>
      <c r="Y106" t="s">
        <v>1679</v>
      </c>
      <c r="Z106" t="s">
        <v>1680</v>
      </c>
      <c r="AA106" t="s">
        <v>368</v>
      </c>
      <c r="AB106">
        <v>45</v>
      </c>
      <c r="AC106">
        <v>17</v>
      </c>
      <c r="AE106">
        <v>161</v>
      </c>
      <c r="AH106" t="s">
        <v>98</v>
      </c>
    </row>
    <row r="107" spans="1:34" x14ac:dyDescent="0.25">
      <c r="A107">
        <v>106</v>
      </c>
      <c r="B107" s="5">
        <v>340805214</v>
      </c>
      <c r="C107" s="5">
        <v>87543439209</v>
      </c>
      <c r="D107">
        <v>4523</v>
      </c>
      <c r="E107" s="1" t="s">
        <v>1688</v>
      </c>
      <c r="F107" t="s">
        <v>369</v>
      </c>
      <c r="G107" t="s">
        <v>370</v>
      </c>
      <c r="H107">
        <v>35767</v>
      </c>
      <c r="I107">
        <v>29389562</v>
      </c>
      <c r="L107" s="2">
        <v>42337</v>
      </c>
      <c r="M107" s="3">
        <f t="shared" si="1"/>
        <v>2015</v>
      </c>
      <c r="N107" s="2">
        <v>43105</v>
      </c>
      <c r="O107">
        <v>245</v>
      </c>
      <c r="P107" s="6">
        <v>4626</v>
      </c>
      <c r="Q107">
        <v>2313</v>
      </c>
      <c r="R107">
        <v>925.2</v>
      </c>
      <c r="S107">
        <v>242</v>
      </c>
      <c r="T107" s="6">
        <v>823.19999999999993</v>
      </c>
      <c r="U107" t="s">
        <v>127</v>
      </c>
      <c r="V107" t="s">
        <v>1686</v>
      </c>
      <c r="W107" t="s">
        <v>1685</v>
      </c>
      <c r="X107" t="s">
        <v>1683</v>
      </c>
      <c r="Y107" t="s">
        <v>1679</v>
      </c>
      <c r="Z107" t="s">
        <v>1684</v>
      </c>
      <c r="AA107" t="s">
        <v>371</v>
      </c>
      <c r="AB107">
        <v>132</v>
      </c>
      <c r="AC107">
        <v>22</v>
      </c>
      <c r="AE107">
        <v>175</v>
      </c>
      <c r="AH107" t="s">
        <v>57</v>
      </c>
    </row>
    <row r="108" spans="1:34" x14ac:dyDescent="0.25">
      <c r="A108">
        <v>107</v>
      </c>
      <c r="B108" s="5">
        <v>394640733</v>
      </c>
      <c r="C108" s="5">
        <v>75486328474</v>
      </c>
      <c r="D108">
        <v>5602</v>
      </c>
      <c r="E108" s="1" t="s">
        <v>1689</v>
      </c>
      <c r="F108" t="s">
        <v>372</v>
      </c>
      <c r="G108" t="s">
        <v>373</v>
      </c>
      <c r="H108">
        <v>28945</v>
      </c>
      <c r="I108">
        <v>31761244</v>
      </c>
      <c r="L108" s="2">
        <v>37451</v>
      </c>
      <c r="M108" s="3">
        <f t="shared" si="1"/>
        <v>2002</v>
      </c>
      <c r="N108" s="2">
        <v>40303</v>
      </c>
      <c r="O108">
        <v>183</v>
      </c>
      <c r="P108" s="6">
        <v>14200</v>
      </c>
      <c r="Q108">
        <v>7100</v>
      </c>
      <c r="R108">
        <v>2840</v>
      </c>
      <c r="S108">
        <v>308</v>
      </c>
      <c r="T108" s="6">
        <v>614.88</v>
      </c>
      <c r="U108" t="s">
        <v>140</v>
      </c>
      <c r="V108" t="s">
        <v>1682</v>
      </c>
      <c r="W108" t="s">
        <v>1678</v>
      </c>
      <c r="X108" t="s">
        <v>1683</v>
      </c>
      <c r="Y108" t="s">
        <v>1679</v>
      </c>
      <c r="Z108" t="s">
        <v>1684</v>
      </c>
      <c r="AA108" t="s">
        <v>374</v>
      </c>
      <c r="AB108">
        <v>40</v>
      </c>
      <c r="AC108">
        <v>12</v>
      </c>
      <c r="AE108">
        <v>126</v>
      </c>
      <c r="AH108" t="s">
        <v>36</v>
      </c>
    </row>
    <row r="109" spans="1:34" x14ac:dyDescent="0.25">
      <c r="A109">
        <v>108</v>
      </c>
      <c r="B109" s="5">
        <v>958591003</v>
      </c>
      <c r="C109" s="5">
        <v>66328708348</v>
      </c>
      <c r="D109">
        <v>7044</v>
      </c>
      <c r="E109" s="1" t="s">
        <v>1688</v>
      </c>
      <c r="F109" t="s">
        <v>375</v>
      </c>
      <c r="G109" t="s">
        <v>376</v>
      </c>
      <c r="H109">
        <v>33930</v>
      </c>
      <c r="I109">
        <v>28872553</v>
      </c>
      <c r="L109" s="2">
        <v>42689</v>
      </c>
      <c r="M109" s="3">
        <f t="shared" si="1"/>
        <v>2016</v>
      </c>
      <c r="N109" s="2">
        <v>43008</v>
      </c>
      <c r="O109">
        <v>194</v>
      </c>
      <c r="P109" s="6">
        <v>23323</v>
      </c>
      <c r="Q109">
        <v>11661.5</v>
      </c>
      <c r="R109">
        <v>4664.6000000000004</v>
      </c>
      <c r="S109">
        <v>220</v>
      </c>
      <c r="T109" s="6">
        <v>651.84</v>
      </c>
      <c r="U109" t="s">
        <v>120</v>
      </c>
      <c r="V109" t="s">
        <v>1673</v>
      </c>
      <c r="W109" t="s">
        <v>1681</v>
      </c>
      <c r="X109" t="s">
        <v>1675</v>
      </c>
      <c r="Y109" t="s">
        <v>61</v>
      </c>
      <c r="Z109" t="s">
        <v>1676</v>
      </c>
      <c r="AA109" t="s">
        <v>377</v>
      </c>
      <c r="AB109">
        <v>135</v>
      </c>
      <c r="AC109">
        <v>3</v>
      </c>
      <c r="AE109">
        <v>164</v>
      </c>
      <c r="AH109" t="s">
        <v>41</v>
      </c>
    </row>
    <row r="110" spans="1:34" x14ac:dyDescent="0.25">
      <c r="A110">
        <v>109</v>
      </c>
      <c r="B110" s="5">
        <v>177480700</v>
      </c>
      <c r="C110" s="5">
        <v>12078625607</v>
      </c>
      <c r="D110">
        <v>4879</v>
      </c>
      <c r="E110" s="1" t="s">
        <v>1688</v>
      </c>
      <c r="F110" t="s">
        <v>378</v>
      </c>
      <c r="G110" t="s">
        <v>379</v>
      </c>
      <c r="H110">
        <v>26317</v>
      </c>
      <c r="I110">
        <v>20894454</v>
      </c>
      <c r="L110" s="2">
        <v>33468</v>
      </c>
      <c r="M110" s="3">
        <f t="shared" si="1"/>
        <v>1991</v>
      </c>
      <c r="N110" s="2" t="s">
        <v>28</v>
      </c>
      <c r="O110">
        <v>186</v>
      </c>
      <c r="P110" s="6">
        <v>15076</v>
      </c>
      <c r="Q110">
        <v>7538</v>
      </c>
      <c r="R110">
        <v>3015.2000000000003</v>
      </c>
      <c r="S110">
        <v>242</v>
      </c>
      <c r="T110" s="6">
        <v>624.96</v>
      </c>
      <c r="U110" t="s">
        <v>78</v>
      </c>
      <c r="V110" t="s">
        <v>1680</v>
      </c>
      <c r="W110" t="s">
        <v>1678</v>
      </c>
      <c r="X110" t="s">
        <v>1675</v>
      </c>
      <c r="Y110" t="s">
        <v>61</v>
      </c>
      <c r="Z110" t="s">
        <v>1676</v>
      </c>
      <c r="AA110" t="s">
        <v>380</v>
      </c>
      <c r="AB110">
        <v>146</v>
      </c>
      <c r="AC110">
        <v>0</v>
      </c>
      <c r="AE110">
        <v>41</v>
      </c>
      <c r="AH110" t="s">
        <v>36</v>
      </c>
    </row>
    <row r="111" spans="1:34" x14ac:dyDescent="0.25">
      <c r="A111">
        <v>110</v>
      </c>
      <c r="B111" s="5">
        <v>137913886</v>
      </c>
      <c r="C111" s="3">
        <v>8904407827</v>
      </c>
      <c r="D111">
        <v>7747</v>
      </c>
      <c r="E111" s="1" t="s">
        <v>1689</v>
      </c>
      <c r="F111" t="s">
        <v>381</v>
      </c>
      <c r="G111" t="s">
        <v>382</v>
      </c>
      <c r="H111">
        <v>36002</v>
      </c>
      <c r="I111">
        <v>27881248</v>
      </c>
      <c r="L111" s="2">
        <v>42572</v>
      </c>
      <c r="M111" s="3">
        <f t="shared" si="1"/>
        <v>2016</v>
      </c>
      <c r="N111" s="2" t="s">
        <v>28</v>
      </c>
      <c r="O111">
        <v>240</v>
      </c>
      <c r="P111" s="6">
        <v>5556</v>
      </c>
      <c r="Q111">
        <v>2778</v>
      </c>
      <c r="R111">
        <v>1111.2</v>
      </c>
      <c r="S111">
        <v>264</v>
      </c>
      <c r="T111" s="6">
        <v>806.4</v>
      </c>
      <c r="U111" t="s">
        <v>164</v>
      </c>
      <c r="V111" t="s">
        <v>1677</v>
      </c>
      <c r="W111" t="s">
        <v>1674</v>
      </c>
      <c r="X111" t="s">
        <v>1675</v>
      </c>
      <c r="Y111" t="s">
        <v>1679</v>
      </c>
      <c r="Z111" t="s">
        <v>1680</v>
      </c>
      <c r="AA111" t="s">
        <v>383</v>
      </c>
      <c r="AB111">
        <v>148</v>
      </c>
      <c r="AC111">
        <v>9</v>
      </c>
      <c r="AE111">
        <v>79</v>
      </c>
      <c r="AH111" t="s">
        <v>31</v>
      </c>
    </row>
    <row r="112" spans="1:34" x14ac:dyDescent="0.25">
      <c r="A112">
        <v>111</v>
      </c>
      <c r="B112" s="5">
        <v>846553752</v>
      </c>
      <c r="C112" s="5">
        <v>39058390996</v>
      </c>
      <c r="D112">
        <v>2775</v>
      </c>
      <c r="E112" s="1" t="s">
        <v>1689</v>
      </c>
      <c r="F112" t="s">
        <v>384</v>
      </c>
      <c r="G112" t="s">
        <v>385</v>
      </c>
      <c r="H112">
        <v>33308</v>
      </c>
      <c r="I112">
        <v>32762432</v>
      </c>
      <c r="L112" s="2">
        <v>39878</v>
      </c>
      <c r="M112" s="3">
        <f t="shared" si="1"/>
        <v>2009</v>
      </c>
      <c r="N112" s="2" t="s">
        <v>28</v>
      </c>
      <c r="O112">
        <v>165</v>
      </c>
      <c r="P112" s="6">
        <v>9367</v>
      </c>
      <c r="Q112">
        <v>4683.5</v>
      </c>
      <c r="R112">
        <v>1873.4</v>
      </c>
      <c r="S112">
        <v>198</v>
      </c>
      <c r="T112" s="6">
        <v>554.4</v>
      </c>
      <c r="U112" t="s">
        <v>164</v>
      </c>
      <c r="V112" t="s">
        <v>1677</v>
      </c>
      <c r="W112" t="s">
        <v>1674</v>
      </c>
      <c r="X112" t="s">
        <v>1675</v>
      </c>
      <c r="Y112" t="s">
        <v>1679</v>
      </c>
      <c r="Z112" t="s">
        <v>1680</v>
      </c>
      <c r="AA112" t="s">
        <v>386</v>
      </c>
      <c r="AB112">
        <v>115</v>
      </c>
      <c r="AC112">
        <v>57</v>
      </c>
      <c r="AE112">
        <v>0</v>
      </c>
      <c r="AH112" t="s">
        <v>31</v>
      </c>
    </row>
    <row r="113" spans="1:34" x14ac:dyDescent="0.25">
      <c r="A113">
        <v>112</v>
      </c>
      <c r="B113" s="5">
        <v>177736483</v>
      </c>
      <c r="C113" s="5">
        <v>40031578683</v>
      </c>
      <c r="D113">
        <v>4494</v>
      </c>
      <c r="E113" s="1" t="s">
        <v>1689</v>
      </c>
      <c r="F113" t="s">
        <v>387</v>
      </c>
      <c r="G113" t="s">
        <v>388</v>
      </c>
      <c r="H113">
        <v>28158</v>
      </c>
      <c r="I113">
        <v>23232489</v>
      </c>
      <c r="L113" s="2">
        <v>37707</v>
      </c>
      <c r="M113" s="3">
        <f t="shared" si="1"/>
        <v>2003</v>
      </c>
      <c r="N113" s="2" t="s">
        <v>28</v>
      </c>
      <c r="O113">
        <v>198</v>
      </c>
      <c r="P113" s="6">
        <v>17393</v>
      </c>
      <c r="Q113">
        <v>8696.5</v>
      </c>
      <c r="R113">
        <v>3478.6000000000004</v>
      </c>
      <c r="S113">
        <v>264</v>
      </c>
      <c r="T113" s="6">
        <v>665.28000000000009</v>
      </c>
      <c r="U113" t="s">
        <v>172</v>
      </c>
      <c r="V113" t="s">
        <v>1686</v>
      </c>
      <c r="W113" t="s">
        <v>1674</v>
      </c>
      <c r="X113" t="s">
        <v>1683</v>
      </c>
      <c r="Y113" t="s">
        <v>1679</v>
      </c>
      <c r="Z113" t="s">
        <v>1684</v>
      </c>
      <c r="AA113" t="s">
        <v>389</v>
      </c>
      <c r="AB113">
        <v>80</v>
      </c>
      <c r="AC113">
        <v>42</v>
      </c>
      <c r="AE113">
        <v>97</v>
      </c>
      <c r="AH113" t="s">
        <v>31</v>
      </c>
    </row>
    <row r="114" spans="1:34" x14ac:dyDescent="0.25">
      <c r="A114">
        <v>113</v>
      </c>
      <c r="B114" s="5">
        <v>734906034</v>
      </c>
      <c r="C114" s="5">
        <v>52543439006</v>
      </c>
      <c r="D114">
        <v>4619</v>
      </c>
      <c r="E114" s="1" t="s">
        <v>1688</v>
      </c>
      <c r="F114" t="s">
        <v>390</v>
      </c>
      <c r="G114" t="s">
        <v>391</v>
      </c>
      <c r="H114">
        <v>29815</v>
      </c>
      <c r="I114">
        <v>31908304</v>
      </c>
      <c r="L114" s="2">
        <v>42050</v>
      </c>
      <c r="M114" s="3">
        <f t="shared" si="1"/>
        <v>2015</v>
      </c>
      <c r="N114" s="2" t="s">
        <v>28</v>
      </c>
      <c r="O114">
        <v>205</v>
      </c>
      <c r="P114" s="6">
        <v>22887</v>
      </c>
      <c r="Q114">
        <v>11443.5</v>
      </c>
      <c r="R114">
        <v>4577.4000000000005</v>
      </c>
      <c r="S114">
        <v>242</v>
      </c>
      <c r="T114" s="6">
        <v>688.80000000000007</v>
      </c>
      <c r="U114" t="s">
        <v>157</v>
      </c>
      <c r="V114" t="s">
        <v>1682</v>
      </c>
      <c r="W114" t="s">
        <v>1687</v>
      </c>
      <c r="X114" t="s">
        <v>1683</v>
      </c>
      <c r="Y114" t="s">
        <v>1679</v>
      </c>
      <c r="Z114" t="s">
        <v>1684</v>
      </c>
      <c r="AA114" t="s">
        <v>392</v>
      </c>
      <c r="AB114">
        <v>53</v>
      </c>
      <c r="AC114">
        <v>23</v>
      </c>
      <c r="AE114">
        <v>64</v>
      </c>
      <c r="AH114" t="s">
        <v>98</v>
      </c>
    </row>
    <row r="115" spans="1:34" x14ac:dyDescent="0.25">
      <c r="A115">
        <v>114</v>
      </c>
      <c r="B115" s="5">
        <v>930055566</v>
      </c>
      <c r="C115" s="3">
        <v>543719535</v>
      </c>
      <c r="D115">
        <v>5147</v>
      </c>
      <c r="E115" s="1" t="s">
        <v>1689</v>
      </c>
      <c r="F115" t="s">
        <v>393</v>
      </c>
      <c r="G115" t="s">
        <v>394</v>
      </c>
      <c r="H115">
        <v>29084</v>
      </c>
      <c r="I115">
        <v>41397449</v>
      </c>
      <c r="L115" s="2">
        <v>38183</v>
      </c>
      <c r="M115" s="3">
        <f t="shared" si="1"/>
        <v>2004</v>
      </c>
      <c r="N115" s="2">
        <v>41067</v>
      </c>
      <c r="O115">
        <v>174</v>
      </c>
      <c r="P115" s="6">
        <v>20141</v>
      </c>
      <c r="Q115">
        <v>10070.5</v>
      </c>
      <c r="R115">
        <v>4028.2000000000003</v>
      </c>
      <c r="S115">
        <v>242</v>
      </c>
      <c r="T115" s="6">
        <v>584.64</v>
      </c>
      <c r="U115" t="s">
        <v>51</v>
      </c>
      <c r="V115" t="s">
        <v>1682</v>
      </c>
      <c r="W115" t="s">
        <v>1674</v>
      </c>
      <c r="X115" t="s">
        <v>1683</v>
      </c>
      <c r="Y115" t="s">
        <v>1679</v>
      </c>
      <c r="Z115" t="s">
        <v>1684</v>
      </c>
      <c r="AA115" t="s">
        <v>395</v>
      </c>
      <c r="AB115">
        <v>132</v>
      </c>
      <c r="AC115">
        <v>35</v>
      </c>
      <c r="AE115">
        <v>104</v>
      </c>
      <c r="AH115" t="s">
        <v>31</v>
      </c>
    </row>
    <row r="116" spans="1:34" x14ac:dyDescent="0.25">
      <c r="A116">
        <v>115</v>
      </c>
      <c r="B116" s="5">
        <v>845318164</v>
      </c>
      <c r="C116" s="5">
        <v>86837351362</v>
      </c>
      <c r="D116">
        <v>5246</v>
      </c>
      <c r="E116" s="1" t="s">
        <v>1689</v>
      </c>
      <c r="F116" t="s">
        <v>396</v>
      </c>
      <c r="G116" t="s">
        <v>397</v>
      </c>
      <c r="H116">
        <v>33108</v>
      </c>
      <c r="I116">
        <v>40419579</v>
      </c>
      <c r="L116" s="2">
        <v>40606</v>
      </c>
      <c r="M116" s="3">
        <f t="shared" si="1"/>
        <v>2011</v>
      </c>
      <c r="N116" s="2">
        <v>42320</v>
      </c>
      <c r="O116">
        <v>215</v>
      </c>
      <c r="P116" s="6">
        <v>19228</v>
      </c>
      <c r="Q116">
        <v>9614</v>
      </c>
      <c r="R116">
        <v>3845.6000000000004</v>
      </c>
      <c r="S116">
        <v>308</v>
      </c>
      <c r="T116" s="6">
        <v>722.4</v>
      </c>
      <c r="U116" t="s">
        <v>39</v>
      </c>
      <c r="V116" t="s">
        <v>1677</v>
      </c>
      <c r="W116" t="s">
        <v>1681</v>
      </c>
      <c r="X116" t="s">
        <v>1675</v>
      </c>
      <c r="Y116" t="s">
        <v>1679</v>
      </c>
      <c r="Z116" t="s">
        <v>1680</v>
      </c>
      <c r="AA116" t="s">
        <v>398</v>
      </c>
      <c r="AB116">
        <v>148</v>
      </c>
      <c r="AC116">
        <v>58</v>
      </c>
      <c r="AE116">
        <v>73</v>
      </c>
      <c r="AH116" t="s">
        <v>41</v>
      </c>
    </row>
    <row r="117" spans="1:34" x14ac:dyDescent="0.25">
      <c r="A117">
        <v>116</v>
      </c>
      <c r="B117" s="5">
        <v>235304894</v>
      </c>
      <c r="C117" s="5">
        <v>66343320056</v>
      </c>
      <c r="D117">
        <v>4574</v>
      </c>
      <c r="E117" s="1" t="s">
        <v>1688</v>
      </c>
      <c r="F117" t="s">
        <v>399</v>
      </c>
      <c r="G117" t="s">
        <v>400</v>
      </c>
      <c r="H117">
        <v>36064</v>
      </c>
      <c r="I117">
        <v>39601742</v>
      </c>
      <c r="L117" s="2">
        <v>42634</v>
      </c>
      <c r="M117" s="3">
        <f t="shared" si="1"/>
        <v>2016</v>
      </c>
      <c r="N117" s="2" t="s">
        <v>28</v>
      </c>
      <c r="O117">
        <v>236</v>
      </c>
      <c r="P117" s="6">
        <v>21154</v>
      </c>
      <c r="Q117">
        <v>10577</v>
      </c>
      <c r="R117">
        <v>4230.8</v>
      </c>
      <c r="S117">
        <v>198</v>
      </c>
      <c r="T117" s="6">
        <v>792.96</v>
      </c>
      <c r="U117" t="s">
        <v>140</v>
      </c>
      <c r="V117" t="s">
        <v>1682</v>
      </c>
      <c r="W117" t="s">
        <v>1678</v>
      </c>
      <c r="X117" t="s">
        <v>1683</v>
      </c>
      <c r="Y117" t="s">
        <v>1679</v>
      </c>
      <c r="Z117" t="s">
        <v>1684</v>
      </c>
      <c r="AA117" t="s">
        <v>401</v>
      </c>
      <c r="AB117">
        <v>48</v>
      </c>
      <c r="AC117">
        <v>58</v>
      </c>
      <c r="AE117">
        <v>34</v>
      </c>
      <c r="AH117" t="s">
        <v>36</v>
      </c>
    </row>
    <row r="118" spans="1:34" x14ac:dyDescent="0.25">
      <c r="A118">
        <v>117</v>
      </c>
      <c r="B118" s="5">
        <v>288726531</v>
      </c>
      <c r="C118" s="5">
        <v>78645709056</v>
      </c>
      <c r="D118">
        <v>7301</v>
      </c>
      <c r="E118" s="1" t="s">
        <v>1688</v>
      </c>
      <c r="F118" t="s">
        <v>402</v>
      </c>
      <c r="G118" t="s">
        <v>403</v>
      </c>
      <c r="H118">
        <v>34605</v>
      </c>
      <c r="I118">
        <v>33769427</v>
      </c>
      <c r="L118" s="2">
        <v>41175</v>
      </c>
      <c r="M118" s="3">
        <f t="shared" si="1"/>
        <v>2012</v>
      </c>
      <c r="N118" s="2" t="s">
        <v>28</v>
      </c>
      <c r="O118">
        <v>183</v>
      </c>
      <c r="P118" s="6">
        <v>17709</v>
      </c>
      <c r="Q118">
        <v>8854.5</v>
      </c>
      <c r="R118">
        <v>3541.8</v>
      </c>
      <c r="S118">
        <v>220</v>
      </c>
      <c r="T118" s="6">
        <v>614.88</v>
      </c>
      <c r="U118" t="s">
        <v>82</v>
      </c>
      <c r="V118" t="s">
        <v>1677</v>
      </c>
      <c r="W118" t="s">
        <v>1685</v>
      </c>
      <c r="X118" t="s">
        <v>1675</v>
      </c>
      <c r="Y118" t="s">
        <v>1679</v>
      </c>
      <c r="Z118" t="s">
        <v>1680</v>
      </c>
      <c r="AA118" t="s">
        <v>404</v>
      </c>
      <c r="AB118">
        <v>121</v>
      </c>
      <c r="AC118">
        <v>0</v>
      </c>
      <c r="AE118">
        <v>111</v>
      </c>
      <c r="AH118" t="s">
        <v>57</v>
      </c>
    </row>
    <row r="119" spans="1:34" x14ac:dyDescent="0.25">
      <c r="A119">
        <v>118</v>
      </c>
      <c r="B119" s="5">
        <v>727842295</v>
      </c>
      <c r="C119" s="5">
        <v>58437812891</v>
      </c>
      <c r="D119">
        <v>4855</v>
      </c>
      <c r="E119" s="1" t="s">
        <v>1688</v>
      </c>
      <c r="F119" t="s">
        <v>405</v>
      </c>
      <c r="G119" t="s">
        <v>406</v>
      </c>
      <c r="H119">
        <v>32152</v>
      </c>
      <c r="I119">
        <v>48437941</v>
      </c>
      <c r="L119" s="2">
        <v>42789</v>
      </c>
      <c r="M119" s="3">
        <f t="shared" si="1"/>
        <v>2017</v>
      </c>
      <c r="N119" s="2" t="s">
        <v>28</v>
      </c>
      <c r="O119">
        <v>211</v>
      </c>
      <c r="P119" s="6">
        <v>20424</v>
      </c>
      <c r="Q119">
        <v>10212</v>
      </c>
      <c r="R119">
        <v>4084.8</v>
      </c>
      <c r="S119">
        <v>308</v>
      </c>
      <c r="T119" s="6">
        <v>708.96</v>
      </c>
      <c r="U119" t="s">
        <v>172</v>
      </c>
      <c r="V119" t="s">
        <v>1686</v>
      </c>
      <c r="W119" t="s">
        <v>1674</v>
      </c>
      <c r="X119" t="s">
        <v>1683</v>
      </c>
      <c r="Y119" t="s">
        <v>1679</v>
      </c>
      <c r="Z119" t="s">
        <v>1684</v>
      </c>
      <c r="AA119" t="s">
        <v>407</v>
      </c>
      <c r="AB119">
        <v>59</v>
      </c>
      <c r="AC119">
        <v>25</v>
      </c>
      <c r="AE119">
        <v>133</v>
      </c>
      <c r="AH119" t="s">
        <v>31</v>
      </c>
    </row>
    <row r="120" spans="1:34" x14ac:dyDescent="0.25">
      <c r="A120">
        <v>119</v>
      </c>
      <c r="B120" s="5">
        <v>759142473</v>
      </c>
      <c r="C120" s="5">
        <v>49002955469</v>
      </c>
      <c r="D120">
        <v>5141</v>
      </c>
      <c r="E120" s="1" t="s">
        <v>1688</v>
      </c>
      <c r="F120" t="s">
        <v>408</v>
      </c>
      <c r="G120" t="s">
        <v>409</v>
      </c>
      <c r="H120">
        <v>25781</v>
      </c>
      <c r="I120">
        <v>38710042</v>
      </c>
      <c r="L120" s="2">
        <v>34899</v>
      </c>
      <c r="M120" s="3">
        <f t="shared" si="1"/>
        <v>1995</v>
      </c>
      <c r="N120" s="2" t="s">
        <v>28</v>
      </c>
      <c r="O120">
        <v>150</v>
      </c>
      <c r="P120" s="6">
        <v>13568</v>
      </c>
      <c r="Q120">
        <v>6784</v>
      </c>
      <c r="R120">
        <v>2713.6000000000004</v>
      </c>
      <c r="S120">
        <v>176</v>
      </c>
      <c r="T120" s="6">
        <v>504</v>
      </c>
      <c r="U120" t="s">
        <v>68</v>
      </c>
      <c r="V120" t="s">
        <v>1686</v>
      </c>
      <c r="W120" t="s">
        <v>1681</v>
      </c>
      <c r="X120" t="s">
        <v>1683</v>
      </c>
      <c r="Y120" t="s">
        <v>1679</v>
      </c>
      <c r="Z120" t="s">
        <v>1684</v>
      </c>
      <c r="AA120" t="s">
        <v>410</v>
      </c>
      <c r="AB120">
        <v>135</v>
      </c>
      <c r="AC120">
        <v>0</v>
      </c>
      <c r="AE120">
        <v>172</v>
      </c>
      <c r="AH120" t="s">
        <v>41</v>
      </c>
    </row>
    <row r="121" spans="1:34" x14ac:dyDescent="0.25">
      <c r="A121">
        <v>120</v>
      </c>
      <c r="B121" s="5">
        <v>780115759</v>
      </c>
      <c r="C121" s="5">
        <v>37162163017</v>
      </c>
      <c r="D121">
        <v>3254</v>
      </c>
      <c r="E121" s="1" t="s">
        <v>1689</v>
      </c>
      <c r="F121" t="s">
        <v>411</v>
      </c>
      <c r="G121" t="s">
        <v>412</v>
      </c>
      <c r="H121">
        <v>25963</v>
      </c>
      <c r="I121">
        <v>29121225</v>
      </c>
      <c r="L121" s="2">
        <v>37763</v>
      </c>
      <c r="M121" s="3">
        <f t="shared" si="1"/>
        <v>2003</v>
      </c>
      <c r="N121" s="2">
        <v>40424</v>
      </c>
      <c r="O121">
        <v>201</v>
      </c>
      <c r="P121" s="6">
        <v>11655</v>
      </c>
      <c r="Q121">
        <v>5827.5</v>
      </c>
      <c r="R121">
        <v>2331</v>
      </c>
      <c r="S121">
        <v>154</v>
      </c>
      <c r="T121" s="6">
        <v>675.36</v>
      </c>
      <c r="U121" t="s">
        <v>172</v>
      </c>
      <c r="V121" t="s">
        <v>1686</v>
      </c>
      <c r="W121" t="s">
        <v>1674</v>
      </c>
      <c r="X121" t="s">
        <v>1683</v>
      </c>
      <c r="Y121" t="s">
        <v>1679</v>
      </c>
      <c r="Z121" t="s">
        <v>1684</v>
      </c>
      <c r="AA121" t="s">
        <v>413</v>
      </c>
      <c r="AB121">
        <v>107</v>
      </c>
      <c r="AC121">
        <v>42</v>
      </c>
      <c r="AE121">
        <v>170</v>
      </c>
      <c r="AH121" t="s">
        <v>31</v>
      </c>
    </row>
    <row r="122" spans="1:34" x14ac:dyDescent="0.25">
      <c r="A122">
        <v>121</v>
      </c>
      <c r="B122" s="5">
        <v>951594073</v>
      </c>
      <c r="C122" s="5">
        <v>86814428662</v>
      </c>
      <c r="D122">
        <v>6325</v>
      </c>
      <c r="E122" s="1" t="s">
        <v>1688</v>
      </c>
      <c r="F122" t="s">
        <v>414</v>
      </c>
      <c r="G122" t="s">
        <v>415</v>
      </c>
      <c r="H122">
        <v>29531</v>
      </c>
      <c r="I122">
        <v>34678179</v>
      </c>
      <c r="L122" s="2">
        <v>38128</v>
      </c>
      <c r="M122" s="3">
        <f t="shared" si="1"/>
        <v>2004</v>
      </c>
      <c r="N122" s="2" t="s">
        <v>28</v>
      </c>
      <c r="O122">
        <v>197</v>
      </c>
      <c r="P122" s="6">
        <v>9870</v>
      </c>
      <c r="Q122">
        <v>4935</v>
      </c>
      <c r="R122">
        <v>1974</v>
      </c>
      <c r="S122">
        <v>220</v>
      </c>
      <c r="T122" s="6">
        <v>661.92000000000007</v>
      </c>
      <c r="U122" t="s">
        <v>140</v>
      </c>
      <c r="V122" t="s">
        <v>1682</v>
      </c>
      <c r="W122" t="s">
        <v>1678</v>
      </c>
      <c r="X122" t="s">
        <v>1683</v>
      </c>
      <c r="Y122" t="s">
        <v>1679</v>
      </c>
      <c r="Z122" t="s">
        <v>1684</v>
      </c>
      <c r="AA122" t="s">
        <v>416</v>
      </c>
      <c r="AB122">
        <v>99</v>
      </c>
      <c r="AC122">
        <v>33</v>
      </c>
      <c r="AE122">
        <v>185</v>
      </c>
      <c r="AH122" t="s">
        <v>36</v>
      </c>
    </row>
    <row r="123" spans="1:34" x14ac:dyDescent="0.25">
      <c r="A123">
        <v>122</v>
      </c>
      <c r="B123" s="5">
        <v>455406136</v>
      </c>
      <c r="C123" s="5">
        <v>11171827036</v>
      </c>
      <c r="D123">
        <v>5007</v>
      </c>
      <c r="E123" s="1" t="s">
        <v>1689</v>
      </c>
      <c r="F123" t="s">
        <v>417</v>
      </c>
      <c r="G123" t="s">
        <v>418</v>
      </c>
      <c r="H123">
        <v>30476</v>
      </c>
      <c r="I123">
        <v>30445170</v>
      </c>
      <c r="L123" s="2">
        <v>42602</v>
      </c>
      <c r="M123" s="3">
        <f t="shared" si="1"/>
        <v>2016</v>
      </c>
      <c r="N123" s="2" t="s">
        <v>28</v>
      </c>
      <c r="O123">
        <v>243</v>
      </c>
      <c r="P123" s="6">
        <v>2782</v>
      </c>
      <c r="Q123">
        <v>1391</v>
      </c>
      <c r="R123">
        <v>556.4</v>
      </c>
      <c r="S123">
        <v>286</v>
      </c>
      <c r="T123" s="6">
        <v>816.48</v>
      </c>
      <c r="U123" t="s">
        <v>64</v>
      </c>
      <c r="V123" t="s">
        <v>1682</v>
      </c>
      <c r="W123" t="s">
        <v>1685</v>
      </c>
      <c r="X123" t="s">
        <v>1683</v>
      </c>
      <c r="Y123" t="s">
        <v>1679</v>
      </c>
      <c r="Z123" t="s">
        <v>1684</v>
      </c>
      <c r="AA123" t="s">
        <v>419</v>
      </c>
      <c r="AB123">
        <v>36</v>
      </c>
      <c r="AC123">
        <v>21</v>
      </c>
      <c r="AE123">
        <v>80</v>
      </c>
      <c r="AH123" t="s">
        <v>57</v>
      </c>
    </row>
    <row r="124" spans="1:34" x14ac:dyDescent="0.25">
      <c r="A124">
        <v>123</v>
      </c>
      <c r="B124" s="5">
        <v>444360097</v>
      </c>
      <c r="C124" s="5">
        <v>46296780759</v>
      </c>
      <c r="D124">
        <v>4387</v>
      </c>
      <c r="E124" s="1" t="s">
        <v>1689</v>
      </c>
      <c r="F124" t="s">
        <v>420</v>
      </c>
      <c r="G124" t="s">
        <v>421</v>
      </c>
      <c r="H124">
        <v>33258</v>
      </c>
      <c r="I124">
        <v>34279902</v>
      </c>
      <c r="L124" s="2">
        <v>39828</v>
      </c>
      <c r="M124" s="3">
        <f t="shared" si="1"/>
        <v>2009</v>
      </c>
      <c r="N124" s="2" t="s">
        <v>28</v>
      </c>
      <c r="O124">
        <v>188</v>
      </c>
      <c r="P124" s="6">
        <v>17363</v>
      </c>
      <c r="Q124">
        <v>8681.5</v>
      </c>
      <c r="R124">
        <v>3472.6000000000004</v>
      </c>
      <c r="S124">
        <v>264</v>
      </c>
      <c r="T124" s="6">
        <v>631.67999999999995</v>
      </c>
      <c r="U124" t="s">
        <v>140</v>
      </c>
      <c r="V124" t="s">
        <v>1682</v>
      </c>
      <c r="W124" t="s">
        <v>1678</v>
      </c>
      <c r="X124" t="s">
        <v>1683</v>
      </c>
      <c r="Y124" t="s">
        <v>1679</v>
      </c>
      <c r="Z124" t="s">
        <v>1684</v>
      </c>
      <c r="AA124" t="s">
        <v>422</v>
      </c>
      <c r="AB124">
        <v>21</v>
      </c>
      <c r="AC124">
        <v>60</v>
      </c>
      <c r="AE124">
        <v>104</v>
      </c>
      <c r="AH124" t="s">
        <v>36</v>
      </c>
    </row>
    <row r="125" spans="1:34" x14ac:dyDescent="0.25">
      <c r="A125">
        <v>124</v>
      </c>
      <c r="B125" s="5">
        <v>588022193</v>
      </c>
      <c r="C125" s="5">
        <v>56416277399</v>
      </c>
      <c r="D125">
        <v>5724</v>
      </c>
      <c r="E125" s="1" t="s">
        <v>1689</v>
      </c>
      <c r="F125" t="s">
        <v>423</v>
      </c>
      <c r="G125" t="s">
        <v>424</v>
      </c>
      <c r="H125">
        <v>30820</v>
      </c>
      <c r="I125">
        <v>31692906</v>
      </c>
      <c r="L125" s="2">
        <v>41434</v>
      </c>
      <c r="M125" s="3">
        <f t="shared" si="1"/>
        <v>2013</v>
      </c>
      <c r="N125" s="2" t="s">
        <v>28</v>
      </c>
      <c r="O125">
        <v>205</v>
      </c>
      <c r="P125" s="6">
        <v>12559</v>
      </c>
      <c r="Q125">
        <v>6279.5</v>
      </c>
      <c r="R125">
        <v>2511.8000000000002</v>
      </c>
      <c r="S125">
        <v>242</v>
      </c>
      <c r="T125" s="6">
        <v>688.80000000000007</v>
      </c>
      <c r="U125" t="s">
        <v>157</v>
      </c>
      <c r="V125" t="s">
        <v>1682</v>
      </c>
      <c r="W125" t="s">
        <v>1687</v>
      </c>
      <c r="X125" t="s">
        <v>1683</v>
      </c>
      <c r="Y125" t="s">
        <v>1679</v>
      </c>
      <c r="Z125" t="s">
        <v>1684</v>
      </c>
      <c r="AA125" t="s">
        <v>425</v>
      </c>
      <c r="AB125">
        <v>61</v>
      </c>
      <c r="AC125">
        <v>48</v>
      </c>
      <c r="AE125">
        <v>6</v>
      </c>
      <c r="AH125" t="s">
        <v>98</v>
      </c>
    </row>
    <row r="126" spans="1:34" x14ac:dyDescent="0.25">
      <c r="A126">
        <v>125</v>
      </c>
      <c r="B126" s="5">
        <v>469755388</v>
      </c>
      <c r="C126" s="5">
        <v>15210371737</v>
      </c>
      <c r="D126">
        <v>5062</v>
      </c>
      <c r="E126" s="1" t="s">
        <v>1689</v>
      </c>
      <c r="F126" t="s">
        <v>426</v>
      </c>
      <c r="G126" t="s">
        <v>427</v>
      </c>
      <c r="H126">
        <v>27949</v>
      </c>
      <c r="I126">
        <v>26698929</v>
      </c>
      <c r="L126" s="2">
        <v>35415</v>
      </c>
      <c r="M126" s="3">
        <f t="shared" si="1"/>
        <v>1996</v>
      </c>
      <c r="N126" s="2" t="s">
        <v>28</v>
      </c>
      <c r="O126">
        <v>205</v>
      </c>
      <c r="P126" s="6">
        <v>10766</v>
      </c>
      <c r="Q126">
        <v>5383</v>
      </c>
      <c r="R126">
        <v>2153.2000000000003</v>
      </c>
      <c r="S126">
        <v>308</v>
      </c>
      <c r="T126" s="6">
        <v>688.80000000000007</v>
      </c>
      <c r="U126" t="s">
        <v>127</v>
      </c>
      <c r="V126" t="s">
        <v>1686</v>
      </c>
      <c r="W126" t="s">
        <v>1685</v>
      </c>
      <c r="X126" t="s">
        <v>1683</v>
      </c>
      <c r="Y126" t="s">
        <v>1679</v>
      </c>
      <c r="Z126" t="s">
        <v>1684</v>
      </c>
      <c r="AA126" t="s">
        <v>428</v>
      </c>
      <c r="AB126">
        <v>76</v>
      </c>
      <c r="AC126">
        <v>51</v>
      </c>
      <c r="AE126">
        <v>190</v>
      </c>
      <c r="AH126" t="s">
        <v>57</v>
      </c>
    </row>
    <row r="127" spans="1:34" x14ac:dyDescent="0.25">
      <c r="A127">
        <v>126</v>
      </c>
      <c r="B127" s="5">
        <v>600923385</v>
      </c>
      <c r="C127" s="5">
        <v>85431642660</v>
      </c>
      <c r="D127">
        <v>1652</v>
      </c>
      <c r="E127" s="1" t="s">
        <v>1688</v>
      </c>
      <c r="F127" t="s">
        <v>429</v>
      </c>
      <c r="G127" t="s">
        <v>430</v>
      </c>
      <c r="H127">
        <v>26120</v>
      </c>
      <c r="I127">
        <v>20241049</v>
      </c>
      <c r="L127" s="2">
        <v>33296</v>
      </c>
      <c r="M127" s="3">
        <f t="shared" si="1"/>
        <v>1991</v>
      </c>
      <c r="N127" s="2">
        <v>35895</v>
      </c>
      <c r="O127">
        <v>199</v>
      </c>
      <c r="P127" s="6">
        <v>4001</v>
      </c>
      <c r="Q127">
        <v>2000.5</v>
      </c>
      <c r="R127">
        <v>800.2</v>
      </c>
      <c r="S127">
        <v>154</v>
      </c>
      <c r="T127" s="6">
        <v>668.64</v>
      </c>
      <c r="U127" t="s">
        <v>39</v>
      </c>
      <c r="V127" t="s">
        <v>1677</v>
      </c>
      <c r="W127" t="s">
        <v>1681</v>
      </c>
      <c r="X127" t="s">
        <v>1675</v>
      </c>
      <c r="Y127" t="s">
        <v>1679</v>
      </c>
      <c r="Z127" t="s">
        <v>1680</v>
      </c>
      <c r="AA127" t="s">
        <v>431</v>
      </c>
      <c r="AB127">
        <v>66</v>
      </c>
      <c r="AC127">
        <v>53</v>
      </c>
      <c r="AE127">
        <v>167</v>
      </c>
      <c r="AH127" t="s">
        <v>41</v>
      </c>
    </row>
    <row r="128" spans="1:34" x14ac:dyDescent="0.25">
      <c r="A128">
        <v>127</v>
      </c>
      <c r="B128" s="5">
        <v>184309718</v>
      </c>
      <c r="C128" s="3">
        <v>9749161333</v>
      </c>
      <c r="D128">
        <v>3373</v>
      </c>
      <c r="E128" s="1" t="s">
        <v>1688</v>
      </c>
      <c r="F128" t="s">
        <v>432</v>
      </c>
      <c r="G128" t="s">
        <v>433</v>
      </c>
      <c r="H128">
        <v>25790</v>
      </c>
      <c r="I128">
        <v>26918878</v>
      </c>
      <c r="L128" s="2">
        <v>40219</v>
      </c>
      <c r="M128" s="3">
        <f t="shared" si="1"/>
        <v>2010</v>
      </c>
      <c r="N128" s="2" t="s">
        <v>28</v>
      </c>
      <c r="O128">
        <v>247</v>
      </c>
      <c r="P128" s="6">
        <v>14586</v>
      </c>
      <c r="Q128">
        <v>7293</v>
      </c>
      <c r="R128">
        <v>2917.2000000000003</v>
      </c>
      <c r="S128">
        <v>286</v>
      </c>
      <c r="T128" s="6">
        <v>829.92000000000007</v>
      </c>
      <c r="U128" t="s">
        <v>44</v>
      </c>
      <c r="V128" t="s">
        <v>1682</v>
      </c>
      <c r="W128" t="s">
        <v>1681</v>
      </c>
      <c r="X128" t="s">
        <v>1683</v>
      </c>
      <c r="Y128" t="s">
        <v>1679</v>
      </c>
      <c r="Z128" t="s">
        <v>1684</v>
      </c>
      <c r="AA128" t="s">
        <v>434</v>
      </c>
      <c r="AB128">
        <v>124</v>
      </c>
      <c r="AC128">
        <v>52</v>
      </c>
      <c r="AE128">
        <v>183</v>
      </c>
      <c r="AH128" t="s">
        <v>41</v>
      </c>
    </row>
    <row r="129" spans="1:34" x14ac:dyDescent="0.25">
      <c r="A129">
        <v>128</v>
      </c>
      <c r="B129" s="5">
        <v>595294024</v>
      </c>
      <c r="C129" s="5">
        <v>29877187796</v>
      </c>
      <c r="D129">
        <v>7582</v>
      </c>
      <c r="E129" s="1" t="s">
        <v>1688</v>
      </c>
      <c r="F129" t="s">
        <v>435</v>
      </c>
      <c r="G129" t="s">
        <v>436</v>
      </c>
      <c r="H129">
        <v>26065</v>
      </c>
      <c r="I129">
        <v>21831765</v>
      </c>
      <c r="L129" s="2">
        <v>39278</v>
      </c>
      <c r="M129" s="3">
        <f t="shared" si="1"/>
        <v>2007</v>
      </c>
      <c r="N129" s="2">
        <v>40091</v>
      </c>
      <c r="O129">
        <v>244</v>
      </c>
      <c r="P129" s="6">
        <v>24021</v>
      </c>
      <c r="Q129">
        <v>12010.5</v>
      </c>
      <c r="R129">
        <v>4804.2</v>
      </c>
      <c r="S129">
        <v>264</v>
      </c>
      <c r="T129" s="6">
        <v>819.84</v>
      </c>
      <c r="U129" t="s">
        <v>127</v>
      </c>
      <c r="V129" t="s">
        <v>1686</v>
      </c>
      <c r="W129" t="s">
        <v>1685</v>
      </c>
      <c r="X129" t="s">
        <v>1683</v>
      </c>
      <c r="Y129" t="s">
        <v>1679</v>
      </c>
      <c r="Z129" t="s">
        <v>1684</v>
      </c>
      <c r="AA129" t="s">
        <v>437</v>
      </c>
      <c r="AB129">
        <v>104</v>
      </c>
      <c r="AC129">
        <v>28</v>
      </c>
      <c r="AE129">
        <v>52</v>
      </c>
      <c r="AH129" t="s">
        <v>57</v>
      </c>
    </row>
    <row r="130" spans="1:34" x14ac:dyDescent="0.25">
      <c r="A130">
        <v>129</v>
      </c>
      <c r="B130" s="5">
        <v>925836109</v>
      </c>
      <c r="C130" s="5">
        <v>25118666378</v>
      </c>
      <c r="D130">
        <v>2668</v>
      </c>
      <c r="E130" s="1" t="s">
        <v>1689</v>
      </c>
      <c r="F130" t="s">
        <v>438</v>
      </c>
      <c r="G130" t="s">
        <v>439</v>
      </c>
      <c r="H130">
        <v>27134</v>
      </c>
      <c r="I130">
        <v>35669174</v>
      </c>
      <c r="L130" s="2">
        <v>39892</v>
      </c>
      <c r="M130" s="3">
        <f t="shared" si="1"/>
        <v>2009</v>
      </c>
      <c r="N130" s="2" t="s">
        <v>28</v>
      </c>
      <c r="O130">
        <v>196</v>
      </c>
      <c r="P130" s="6">
        <v>21566</v>
      </c>
      <c r="Q130">
        <v>10783</v>
      </c>
      <c r="R130">
        <v>4313.2</v>
      </c>
      <c r="S130">
        <v>242</v>
      </c>
      <c r="T130" s="6">
        <v>658.56</v>
      </c>
      <c r="U130" t="s">
        <v>140</v>
      </c>
      <c r="V130" t="s">
        <v>1682</v>
      </c>
      <c r="W130" t="s">
        <v>1678</v>
      </c>
      <c r="X130" t="s">
        <v>1683</v>
      </c>
      <c r="Y130" t="s">
        <v>1679</v>
      </c>
      <c r="Z130" t="s">
        <v>1684</v>
      </c>
      <c r="AA130" t="s">
        <v>440</v>
      </c>
      <c r="AB130">
        <v>108</v>
      </c>
      <c r="AC130">
        <v>9</v>
      </c>
      <c r="AE130">
        <v>192</v>
      </c>
      <c r="AH130" t="s">
        <v>36</v>
      </c>
    </row>
    <row r="131" spans="1:34" x14ac:dyDescent="0.25">
      <c r="A131">
        <v>130</v>
      </c>
      <c r="B131" s="5">
        <v>603708618</v>
      </c>
      <c r="C131" s="5">
        <v>80804622668</v>
      </c>
      <c r="D131">
        <v>7725</v>
      </c>
      <c r="E131" s="1" t="s">
        <v>1689</v>
      </c>
      <c r="F131" t="s">
        <v>441</v>
      </c>
      <c r="G131" t="s">
        <v>442</v>
      </c>
      <c r="H131">
        <v>33086</v>
      </c>
      <c r="I131">
        <v>25874416</v>
      </c>
      <c r="L131" s="2">
        <v>39656</v>
      </c>
      <c r="M131" s="3">
        <f t="shared" ref="M131:M194" si="2">YEAR(L131)</f>
        <v>2008</v>
      </c>
      <c r="N131" s="2" t="s">
        <v>28</v>
      </c>
      <c r="O131">
        <v>178</v>
      </c>
      <c r="P131" s="6">
        <v>5818</v>
      </c>
      <c r="Q131">
        <v>2909</v>
      </c>
      <c r="R131">
        <v>1163.6000000000001</v>
      </c>
      <c r="S131">
        <v>242</v>
      </c>
      <c r="T131" s="6">
        <v>598.07999999999993</v>
      </c>
      <c r="U131" t="s">
        <v>96</v>
      </c>
      <c r="V131" t="s">
        <v>1686</v>
      </c>
      <c r="W131" t="s">
        <v>1687</v>
      </c>
      <c r="X131" t="s">
        <v>1683</v>
      </c>
      <c r="Y131" t="s">
        <v>1679</v>
      </c>
      <c r="Z131" t="s">
        <v>1684</v>
      </c>
      <c r="AA131" t="s">
        <v>443</v>
      </c>
      <c r="AB131">
        <v>136</v>
      </c>
      <c r="AC131">
        <v>5</v>
      </c>
      <c r="AE131">
        <v>163</v>
      </c>
      <c r="AH131" t="s">
        <v>98</v>
      </c>
    </row>
    <row r="132" spans="1:34" x14ac:dyDescent="0.25">
      <c r="A132">
        <v>131</v>
      </c>
      <c r="B132" s="5">
        <v>769344859</v>
      </c>
      <c r="C132" s="5">
        <v>90356066476</v>
      </c>
      <c r="D132">
        <v>4598</v>
      </c>
      <c r="E132" s="1" t="s">
        <v>1688</v>
      </c>
      <c r="F132" t="s">
        <v>444</v>
      </c>
      <c r="G132" t="s">
        <v>445</v>
      </c>
      <c r="H132">
        <v>34783</v>
      </c>
      <c r="I132">
        <v>46608605</v>
      </c>
      <c r="L132" s="2">
        <v>42397</v>
      </c>
      <c r="M132" s="3">
        <f t="shared" si="2"/>
        <v>2016</v>
      </c>
      <c r="N132" s="2" t="s">
        <v>28</v>
      </c>
      <c r="O132">
        <v>192</v>
      </c>
      <c r="P132" s="6">
        <v>7428</v>
      </c>
      <c r="Q132">
        <v>3714</v>
      </c>
      <c r="R132">
        <v>1485.6000000000001</v>
      </c>
      <c r="S132">
        <v>154</v>
      </c>
      <c r="T132" s="6">
        <v>645.12</v>
      </c>
      <c r="U132" t="s">
        <v>446</v>
      </c>
      <c r="V132" t="s">
        <v>1680</v>
      </c>
      <c r="W132" t="s">
        <v>1685</v>
      </c>
      <c r="X132" t="s">
        <v>1675</v>
      </c>
      <c r="Y132" t="s">
        <v>61</v>
      </c>
      <c r="Z132" t="s">
        <v>1676</v>
      </c>
      <c r="AA132" t="s">
        <v>447</v>
      </c>
      <c r="AB132">
        <v>117</v>
      </c>
      <c r="AC132">
        <v>29</v>
      </c>
      <c r="AE132">
        <v>174</v>
      </c>
      <c r="AH132" t="s">
        <v>57</v>
      </c>
    </row>
    <row r="133" spans="1:34" x14ac:dyDescent="0.25">
      <c r="A133">
        <v>132</v>
      </c>
      <c r="B133" s="5">
        <v>243863864</v>
      </c>
      <c r="C133" s="5">
        <v>55793523524</v>
      </c>
      <c r="D133">
        <v>5039</v>
      </c>
      <c r="E133" s="1" t="s">
        <v>1688</v>
      </c>
      <c r="F133" t="s">
        <v>448</v>
      </c>
      <c r="G133" t="s">
        <v>449</v>
      </c>
      <c r="H133">
        <v>25950</v>
      </c>
      <c r="I133">
        <v>26378462</v>
      </c>
      <c r="L133" s="2">
        <v>32666</v>
      </c>
      <c r="M133" s="3">
        <f t="shared" si="2"/>
        <v>1989</v>
      </c>
      <c r="N133" s="2" t="s">
        <v>28</v>
      </c>
      <c r="O133">
        <v>216</v>
      </c>
      <c r="P133" s="6">
        <v>6887</v>
      </c>
      <c r="Q133">
        <v>3443.5</v>
      </c>
      <c r="R133">
        <v>1377.4</v>
      </c>
      <c r="S133">
        <v>286</v>
      </c>
      <c r="T133" s="6">
        <v>725.76</v>
      </c>
      <c r="U133" t="s">
        <v>446</v>
      </c>
      <c r="V133" t="s">
        <v>1680</v>
      </c>
      <c r="W133" t="s">
        <v>1685</v>
      </c>
      <c r="X133" t="s">
        <v>1675</v>
      </c>
      <c r="Y133" t="s">
        <v>61</v>
      </c>
      <c r="Z133" t="s">
        <v>1676</v>
      </c>
      <c r="AA133" t="s">
        <v>450</v>
      </c>
      <c r="AB133">
        <v>149</v>
      </c>
      <c r="AC133">
        <v>23</v>
      </c>
      <c r="AE133">
        <v>103</v>
      </c>
      <c r="AH133" t="s">
        <v>57</v>
      </c>
    </row>
    <row r="134" spans="1:34" x14ac:dyDescent="0.25">
      <c r="A134">
        <v>133</v>
      </c>
      <c r="B134" s="5">
        <v>949607826</v>
      </c>
      <c r="C134" s="5">
        <v>93094571173</v>
      </c>
      <c r="D134">
        <v>1317</v>
      </c>
      <c r="E134" s="1" t="s">
        <v>1689</v>
      </c>
      <c r="F134" t="s">
        <v>451</v>
      </c>
      <c r="G134" t="s">
        <v>452</v>
      </c>
      <c r="H134">
        <v>28080</v>
      </c>
      <c r="I134">
        <v>33185233</v>
      </c>
      <c r="L134" s="2">
        <v>37006</v>
      </c>
      <c r="M134" s="3">
        <f t="shared" si="2"/>
        <v>2001</v>
      </c>
      <c r="N134" s="2" t="s">
        <v>28</v>
      </c>
      <c r="O134">
        <v>161</v>
      </c>
      <c r="P134" s="6">
        <v>11424</v>
      </c>
      <c r="Q134">
        <v>5712</v>
      </c>
      <c r="R134">
        <v>2284.8000000000002</v>
      </c>
      <c r="S134">
        <v>286</v>
      </c>
      <c r="T134" s="6">
        <v>540.96</v>
      </c>
      <c r="U134" t="s">
        <v>92</v>
      </c>
      <c r="V134" t="s">
        <v>1686</v>
      </c>
      <c r="W134" t="s">
        <v>1678</v>
      </c>
      <c r="X134" t="s">
        <v>1683</v>
      </c>
      <c r="Y134" t="s">
        <v>1679</v>
      </c>
      <c r="Z134" t="s">
        <v>1684</v>
      </c>
      <c r="AA134" t="s">
        <v>453</v>
      </c>
      <c r="AB134">
        <v>110</v>
      </c>
      <c r="AC134">
        <v>18</v>
      </c>
      <c r="AE134">
        <v>147</v>
      </c>
      <c r="AH134" t="s">
        <v>36</v>
      </c>
    </row>
    <row r="135" spans="1:34" x14ac:dyDescent="0.25">
      <c r="A135">
        <v>134</v>
      </c>
      <c r="B135" s="5">
        <v>633481953</v>
      </c>
      <c r="C135" s="5">
        <v>73492961189</v>
      </c>
      <c r="D135">
        <v>2412</v>
      </c>
      <c r="E135" s="1" t="s">
        <v>1689</v>
      </c>
      <c r="F135" t="s">
        <v>454</v>
      </c>
      <c r="G135" t="s">
        <v>455</v>
      </c>
      <c r="H135">
        <v>34903</v>
      </c>
      <c r="I135">
        <v>49497426</v>
      </c>
      <c r="L135" s="2">
        <v>41743</v>
      </c>
      <c r="M135" s="3">
        <f t="shared" si="2"/>
        <v>2014</v>
      </c>
      <c r="N135" s="2">
        <v>42165</v>
      </c>
      <c r="O135">
        <v>233</v>
      </c>
      <c r="P135" s="6">
        <v>24769</v>
      </c>
      <c r="Q135">
        <v>12384.5</v>
      </c>
      <c r="R135">
        <v>4953.8</v>
      </c>
      <c r="S135">
        <v>198</v>
      </c>
      <c r="T135" s="6">
        <v>782.88</v>
      </c>
      <c r="U135" t="s">
        <v>172</v>
      </c>
      <c r="V135" t="s">
        <v>1686</v>
      </c>
      <c r="W135" t="s">
        <v>1674</v>
      </c>
      <c r="X135" t="s">
        <v>1683</v>
      </c>
      <c r="Y135" t="s">
        <v>1679</v>
      </c>
      <c r="Z135" t="s">
        <v>1684</v>
      </c>
      <c r="AA135" t="s">
        <v>456</v>
      </c>
      <c r="AB135">
        <v>41</v>
      </c>
      <c r="AC135">
        <v>37</v>
      </c>
      <c r="AE135">
        <v>71</v>
      </c>
      <c r="AH135" t="s">
        <v>31</v>
      </c>
    </row>
    <row r="136" spans="1:34" x14ac:dyDescent="0.25">
      <c r="A136">
        <v>135</v>
      </c>
      <c r="B136" s="5">
        <v>932776517</v>
      </c>
      <c r="C136" s="5">
        <v>85312817519</v>
      </c>
      <c r="D136">
        <v>2192</v>
      </c>
      <c r="E136" s="1" t="s">
        <v>1688</v>
      </c>
      <c r="F136" t="s">
        <v>457</v>
      </c>
      <c r="G136" t="s">
        <v>458</v>
      </c>
      <c r="H136">
        <v>31973</v>
      </c>
      <c r="I136">
        <v>21613320</v>
      </c>
      <c r="L136" s="2">
        <v>38543</v>
      </c>
      <c r="M136" s="3">
        <f t="shared" si="2"/>
        <v>2005</v>
      </c>
      <c r="N136" s="2" t="s">
        <v>28</v>
      </c>
      <c r="O136">
        <v>247</v>
      </c>
      <c r="P136" s="6">
        <v>13506</v>
      </c>
      <c r="Q136">
        <v>6753</v>
      </c>
      <c r="R136">
        <v>2701.2000000000003</v>
      </c>
      <c r="S136">
        <v>154</v>
      </c>
      <c r="T136" s="6">
        <v>829.92000000000007</v>
      </c>
      <c r="U136" t="s">
        <v>68</v>
      </c>
      <c r="V136" t="s">
        <v>1686</v>
      </c>
      <c r="W136" t="s">
        <v>1681</v>
      </c>
      <c r="X136" t="s">
        <v>1683</v>
      </c>
      <c r="Y136" t="s">
        <v>1679</v>
      </c>
      <c r="Z136" t="s">
        <v>1684</v>
      </c>
      <c r="AA136" t="s">
        <v>459</v>
      </c>
      <c r="AB136">
        <v>56</v>
      </c>
      <c r="AC136">
        <v>48</v>
      </c>
      <c r="AE136">
        <v>90</v>
      </c>
      <c r="AH136" t="s">
        <v>41</v>
      </c>
    </row>
    <row r="137" spans="1:34" x14ac:dyDescent="0.25">
      <c r="A137">
        <v>136</v>
      </c>
      <c r="B137" s="5">
        <v>374534296</v>
      </c>
      <c r="C137" s="5">
        <v>30956607102</v>
      </c>
      <c r="D137">
        <v>2517</v>
      </c>
      <c r="E137" s="1" t="s">
        <v>1688</v>
      </c>
      <c r="F137" t="s">
        <v>460</v>
      </c>
      <c r="G137" t="s">
        <v>461</v>
      </c>
      <c r="H137">
        <v>31434</v>
      </c>
      <c r="I137">
        <v>29222960</v>
      </c>
      <c r="L137" s="2">
        <v>38416</v>
      </c>
      <c r="M137" s="3">
        <f t="shared" si="2"/>
        <v>2005</v>
      </c>
      <c r="N137" s="2">
        <v>41007</v>
      </c>
      <c r="O137">
        <v>215</v>
      </c>
      <c r="P137" s="6">
        <v>10961</v>
      </c>
      <c r="Q137">
        <v>5480.5</v>
      </c>
      <c r="R137">
        <v>2192.2000000000003</v>
      </c>
      <c r="S137">
        <v>154</v>
      </c>
      <c r="T137" s="6">
        <v>722.4</v>
      </c>
      <c r="U137" t="s">
        <v>64</v>
      </c>
      <c r="V137" t="s">
        <v>1682</v>
      </c>
      <c r="W137" t="s">
        <v>1685</v>
      </c>
      <c r="X137" t="s">
        <v>1683</v>
      </c>
      <c r="Y137" t="s">
        <v>1679</v>
      </c>
      <c r="Z137" t="s">
        <v>1684</v>
      </c>
      <c r="AA137" t="s">
        <v>462</v>
      </c>
      <c r="AB137">
        <v>66</v>
      </c>
      <c r="AC137">
        <v>22</v>
      </c>
      <c r="AE137">
        <v>191</v>
      </c>
      <c r="AH137" t="s">
        <v>57</v>
      </c>
    </row>
    <row r="138" spans="1:34" x14ac:dyDescent="0.25">
      <c r="A138">
        <v>137</v>
      </c>
      <c r="B138" s="5">
        <v>673312392</v>
      </c>
      <c r="C138" s="5">
        <v>63333609746</v>
      </c>
      <c r="D138">
        <v>3810</v>
      </c>
      <c r="E138" s="1" t="s">
        <v>1688</v>
      </c>
      <c r="F138" t="s">
        <v>463</v>
      </c>
      <c r="G138" t="s">
        <v>464</v>
      </c>
      <c r="H138">
        <v>27760</v>
      </c>
      <c r="I138">
        <v>36858409</v>
      </c>
      <c r="L138" s="2">
        <v>34529</v>
      </c>
      <c r="M138" s="3">
        <f t="shared" si="2"/>
        <v>1994</v>
      </c>
      <c r="N138" s="2" t="s">
        <v>28</v>
      </c>
      <c r="O138">
        <v>194</v>
      </c>
      <c r="P138" s="6">
        <v>17437</v>
      </c>
      <c r="Q138">
        <v>8718.5</v>
      </c>
      <c r="R138">
        <v>3487.4</v>
      </c>
      <c r="S138">
        <v>176</v>
      </c>
      <c r="T138" s="6">
        <v>651.84</v>
      </c>
      <c r="U138" t="s">
        <v>157</v>
      </c>
      <c r="V138" t="s">
        <v>1682</v>
      </c>
      <c r="W138" t="s">
        <v>1687</v>
      </c>
      <c r="X138" t="s">
        <v>1683</v>
      </c>
      <c r="Y138" t="s">
        <v>1679</v>
      </c>
      <c r="Z138" t="s">
        <v>1684</v>
      </c>
      <c r="AA138" t="s">
        <v>465</v>
      </c>
      <c r="AB138">
        <v>88</v>
      </c>
      <c r="AC138">
        <v>11</v>
      </c>
      <c r="AE138">
        <v>48</v>
      </c>
      <c r="AH138" t="s">
        <v>98</v>
      </c>
    </row>
    <row r="139" spans="1:34" x14ac:dyDescent="0.25">
      <c r="A139">
        <v>138</v>
      </c>
      <c r="B139" s="5">
        <v>390574367</v>
      </c>
      <c r="C139" s="5">
        <v>26493553037</v>
      </c>
      <c r="D139">
        <v>1930</v>
      </c>
      <c r="E139" s="1" t="s">
        <v>1689</v>
      </c>
      <c r="F139" t="s">
        <v>466</v>
      </c>
      <c r="G139" t="s">
        <v>467</v>
      </c>
      <c r="H139">
        <v>35314</v>
      </c>
      <c r="I139">
        <v>46661375</v>
      </c>
      <c r="L139" s="2">
        <v>41884</v>
      </c>
      <c r="M139" s="3">
        <f t="shared" si="2"/>
        <v>2014</v>
      </c>
      <c r="N139" s="2" t="s">
        <v>28</v>
      </c>
      <c r="O139">
        <v>164</v>
      </c>
      <c r="P139" s="6">
        <v>13893</v>
      </c>
      <c r="Q139">
        <v>6946.5</v>
      </c>
      <c r="R139">
        <v>2778.6000000000004</v>
      </c>
      <c r="S139">
        <v>242</v>
      </c>
      <c r="T139" s="6">
        <v>551.04</v>
      </c>
      <c r="U139" t="s">
        <v>157</v>
      </c>
      <c r="V139" t="s">
        <v>1682</v>
      </c>
      <c r="W139" t="s">
        <v>1687</v>
      </c>
      <c r="X139" t="s">
        <v>1683</v>
      </c>
      <c r="Y139" t="s">
        <v>1679</v>
      </c>
      <c r="Z139" t="s">
        <v>1684</v>
      </c>
      <c r="AA139" t="s">
        <v>468</v>
      </c>
      <c r="AB139">
        <v>148</v>
      </c>
      <c r="AC139">
        <v>4</v>
      </c>
      <c r="AE139">
        <v>173</v>
      </c>
      <c r="AF139">
        <v>321</v>
      </c>
      <c r="AH139" t="s">
        <v>98</v>
      </c>
    </row>
    <row r="140" spans="1:34" x14ac:dyDescent="0.25">
      <c r="A140">
        <v>139</v>
      </c>
      <c r="B140" s="5">
        <v>408424820</v>
      </c>
      <c r="C140" s="5">
        <v>54623421808</v>
      </c>
      <c r="D140">
        <v>6040</v>
      </c>
      <c r="E140" s="1" t="s">
        <v>1689</v>
      </c>
      <c r="F140" t="s">
        <v>469</v>
      </c>
      <c r="G140" t="s">
        <v>470</v>
      </c>
      <c r="H140">
        <v>30062</v>
      </c>
      <c r="I140">
        <v>45440008</v>
      </c>
      <c r="L140" s="2">
        <v>39630</v>
      </c>
      <c r="M140" s="3">
        <f t="shared" si="2"/>
        <v>2008</v>
      </c>
      <c r="N140" s="2" t="s">
        <v>28</v>
      </c>
      <c r="O140">
        <v>188</v>
      </c>
      <c r="P140" s="6">
        <v>15531</v>
      </c>
      <c r="Q140">
        <v>7765.5</v>
      </c>
      <c r="R140">
        <v>3106.2000000000003</v>
      </c>
      <c r="S140">
        <v>220</v>
      </c>
      <c r="T140" s="6">
        <v>631.67999999999995</v>
      </c>
      <c r="U140" t="s">
        <v>68</v>
      </c>
      <c r="V140" t="s">
        <v>1686</v>
      </c>
      <c r="W140" t="s">
        <v>1681</v>
      </c>
      <c r="X140" t="s">
        <v>1683</v>
      </c>
      <c r="Y140" t="s">
        <v>1679</v>
      </c>
      <c r="Z140" t="s">
        <v>1684</v>
      </c>
      <c r="AA140" t="s">
        <v>471</v>
      </c>
      <c r="AB140">
        <v>128</v>
      </c>
      <c r="AC140">
        <v>26</v>
      </c>
      <c r="AE140">
        <v>135</v>
      </c>
      <c r="AH140" t="s">
        <v>41</v>
      </c>
    </row>
    <row r="141" spans="1:34" x14ac:dyDescent="0.25">
      <c r="A141">
        <v>140</v>
      </c>
      <c r="B141" s="5">
        <v>537173194</v>
      </c>
      <c r="C141" s="5">
        <v>25731473836</v>
      </c>
      <c r="D141">
        <v>3037</v>
      </c>
      <c r="E141" s="1" t="s">
        <v>1688</v>
      </c>
      <c r="F141" t="s">
        <v>472</v>
      </c>
      <c r="G141" t="s">
        <v>473</v>
      </c>
      <c r="H141">
        <v>29785</v>
      </c>
      <c r="I141">
        <v>46493303</v>
      </c>
      <c r="L141" s="2">
        <v>37718</v>
      </c>
      <c r="M141" s="3">
        <f t="shared" si="2"/>
        <v>2003</v>
      </c>
      <c r="N141" s="2">
        <v>40578</v>
      </c>
      <c r="O141">
        <v>192</v>
      </c>
      <c r="P141" s="6">
        <v>7254</v>
      </c>
      <c r="Q141">
        <v>3627</v>
      </c>
      <c r="R141">
        <v>1450.8000000000002</v>
      </c>
      <c r="S141">
        <v>308</v>
      </c>
      <c r="T141" s="6">
        <v>645.12</v>
      </c>
      <c r="U141" t="s">
        <v>157</v>
      </c>
      <c r="V141" t="s">
        <v>1682</v>
      </c>
      <c r="W141" t="s">
        <v>1687</v>
      </c>
      <c r="X141" t="s">
        <v>1683</v>
      </c>
      <c r="Y141" t="s">
        <v>1679</v>
      </c>
      <c r="Z141" t="s">
        <v>1684</v>
      </c>
      <c r="AA141" t="s">
        <v>474</v>
      </c>
      <c r="AB141">
        <v>122</v>
      </c>
      <c r="AC141">
        <v>28</v>
      </c>
      <c r="AE141">
        <v>59</v>
      </c>
      <c r="AH141" t="s">
        <v>98</v>
      </c>
    </row>
    <row r="142" spans="1:34" x14ac:dyDescent="0.25">
      <c r="A142">
        <v>141</v>
      </c>
      <c r="B142" s="5">
        <v>129089379</v>
      </c>
      <c r="C142" s="5">
        <v>37366209445</v>
      </c>
      <c r="D142">
        <v>1174</v>
      </c>
      <c r="E142" s="1" t="s">
        <v>1689</v>
      </c>
      <c r="F142" t="s">
        <v>475</v>
      </c>
      <c r="G142" t="s">
        <v>476</v>
      </c>
      <c r="H142">
        <v>28814</v>
      </c>
      <c r="I142">
        <v>47676496</v>
      </c>
      <c r="L142" s="2">
        <v>38198</v>
      </c>
      <c r="M142" s="3">
        <f t="shared" si="2"/>
        <v>2004</v>
      </c>
      <c r="N142" s="2">
        <v>41731</v>
      </c>
      <c r="O142">
        <v>198</v>
      </c>
      <c r="P142" s="6">
        <v>24203</v>
      </c>
      <c r="Q142">
        <v>12101.5</v>
      </c>
      <c r="R142">
        <v>4840.6000000000004</v>
      </c>
      <c r="S142">
        <v>220</v>
      </c>
      <c r="T142" s="6">
        <v>665.28000000000009</v>
      </c>
      <c r="U142" t="s">
        <v>29</v>
      </c>
      <c r="V142" t="s">
        <v>1673</v>
      </c>
      <c r="W142" t="s">
        <v>1674</v>
      </c>
      <c r="X142" t="s">
        <v>1675</v>
      </c>
      <c r="Y142" t="s">
        <v>61</v>
      </c>
      <c r="Z142" t="s">
        <v>1676</v>
      </c>
      <c r="AA142" t="s">
        <v>477</v>
      </c>
      <c r="AB142">
        <v>97</v>
      </c>
      <c r="AC142">
        <v>15</v>
      </c>
      <c r="AE142">
        <v>6</v>
      </c>
      <c r="AH142" t="s">
        <v>31</v>
      </c>
    </row>
    <row r="143" spans="1:34" x14ac:dyDescent="0.25">
      <c r="A143">
        <v>142</v>
      </c>
      <c r="B143" s="5">
        <v>203749962</v>
      </c>
      <c r="C143" s="5">
        <v>11591378511</v>
      </c>
      <c r="D143">
        <v>2434</v>
      </c>
      <c r="E143" s="1" t="s">
        <v>1689</v>
      </c>
      <c r="F143" t="s">
        <v>478</v>
      </c>
      <c r="G143" t="s">
        <v>479</v>
      </c>
      <c r="H143">
        <v>27764</v>
      </c>
      <c r="I143">
        <v>45441663</v>
      </c>
      <c r="L143" s="2">
        <v>40799</v>
      </c>
      <c r="M143" s="3">
        <f t="shared" si="2"/>
        <v>2011</v>
      </c>
      <c r="N143" s="2" t="s">
        <v>28</v>
      </c>
      <c r="O143">
        <v>157</v>
      </c>
      <c r="P143" s="6">
        <v>24598</v>
      </c>
      <c r="Q143">
        <v>12299</v>
      </c>
      <c r="R143">
        <v>4919.6000000000004</v>
      </c>
      <c r="S143">
        <v>242</v>
      </c>
      <c r="T143" s="6">
        <v>527.52</v>
      </c>
      <c r="U143" t="s">
        <v>34</v>
      </c>
      <c r="V143" t="s">
        <v>1677</v>
      </c>
      <c r="W143" t="s">
        <v>1678</v>
      </c>
      <c r="X143" t="s">
        <v>1675</v>
      </c>
      <c r="Y143" t="s">
        <v>1679</v>
      </c>
      <c r="Z143" t="s">
        <v>1680</v>
      </c>
      <c r="AA143" t="s">
        <v>480</v>
      </c>
      <c r="AB143">
        <v>36</v>
      </c>
      <c r="AC143">
        <v>32</v>
      </c>
      <c r="AE143">
        <v>23</v>
      </c>
      <c r="AH143" t="s">
        <v>36</v>
      </c>
    </row>
    <row r="144" spans="1:34" x14ac:dyDescent="0.25">
      <c r="A144">
        <v>143</v>
      </c>
      <c r="B144" s="5">
        <v>659993123</v>
      </c>
      <c r="C144" s="5">
        <v>19376496246</v>
      </c>
      <c r="D144">
        <v>7572</v>
      </c>
      <c r="E144" s="1" t="s">
        <v>1688</v>
      </c>
      <c r="F144" t="s">
        <v>481</v>
      </c>
      <c r="G144" t="s">
        <v>482</v>
      </c>
      <c r="H144">
        <v>34439</v>
      </c>
      <c r="I144">
        <v>37913662</v>
      </c>
      <c r="L144" s="2">
        <v>42635</v>
      </c>
      <c r="M144" s="3">
        <f t="shared" si="2"/>
        <v>2016</v>
      </c>
      <c r="N144" s="2" t="s">
        <v>28</v>
      </c>
      <c r="O144">
        <v>153</v>
      </c>
      <c r="P144" s="6">
        <v>10793</v>
      </c>
      <c r="Q144">
        <v>5396.5</v>
      </c>
      <c r="R144">
        <v>2158.6</v>
      </c>
      <c r="S144">
        <v>242</v>
      </c>
      <c r="T144" s="6">
        <v>514.07999999999993</v>
      </c>
      <c r="U144" t="s">
        <v>140</v>
      </c>
      <c r="V144" t="s">
        <v>1682</v>
      </c>
      <c r="W144" t="s">
        <v>1678</v>
      </c>
      <c r="X144" t="s">
        <v>1683</v>
      </c>
      <c r="Y144" t="s">
        <v>1679</v>
      </c>
      <c r="Z144" t="s">
        <v>1684</v>
      </c>
      <c r="AA144" t="s">
        <v>483</v>
      </c>
      <c r="AB144">
        <v>40</v>
      </c>
      <c r="AC144">
        <v>46</v>
      </c>
      <c r="AE144">
        <v>136</v>
      </c>
      <c r="AH144" t="s">
        <v>36</v>
      </c>
    </row>
    <row r="145" spans="1:34" x14ac:dyDescent="0.25">
      <c r="A145">
        <v>144</v>
      </c>
      <c r="B145" s="5">
        <v>646471086</v>
      </c>
      <c r="C145" s="3">
        <v>3941490450</v>
      </c>
      <c r="D145">
        <v>5189</v>
      </c>
      <c r="E145" s="1" t="s">
        <v>1689</v>
      </c>
      <c r="F145" t="s">
        <v>484</v>
      </c>
      <c r="G145" t="s">
        <v>485</v>
      </c>
      <c r="H145">
        <v>33531</v>
      </c>
      <c r="I145">
        <v>40458933</v>
      </c>
      <c r="L145" s="2">
        <v>42164</v>
      </c>
      <c r="M145" s="3">
        <f t="shared" si="2"/>
        <v>2015</v>
      </c>
      <c r="N145" s="2" t="s">
        <v>28</v>
      </c>
      <c r="O145">
        <v>237</v>
      </c>
      <c r="P145" s="6">
        <v>4048</v>
      </c>
      <c r="Q145">
        <v>2024</v>
      </c>
      <c r="R145">
        <v>809.6</v>
      </c>
      <c r="S145">
        <v>198</v>
      </c>
      <c r="T145" s="6">
        <v>796.32</v>
      </c>
      <c r="U145" t="s">
        <v>168</v>
      </c>
      <c r="V145" t="s">
        <v>1677</v>
      </c>
      <c r="W145" t="s">
        <v>1687</v>
      </c>
      <c r="X145" t="s">
        <v>1675</v>
      </c>
      <c r="Y145" t="s">
        <v>1679</v>
      </c>
      <c r="Z145" t="s">
        <v>1680</v>
      </c>
      <c r="AA145" t="s">
        <v>486</v>
      </c>
      <c r="AB145">
        <v>95</v>
      </c>
      <c r="AC145">
        <v>25</v>
      </c>
      <c r="AE145">
        <v>5</v>
      </c>
      <c r="AH145" t="s">
        <v>98</v>
      </c>
    </row>
    <row r="146" spans="1:34" x14ac:dyDescent="0.25">
      <c r="A146">
        <v>145</v>
      </c>
      <c r="B146" s="5">
        <v>716621565</v>
      </c>
      <c r="C146" s="3">
        <v>8781618356</v>
      </c>
      <c r="D146">
        <v>3994</v>
      </c>
      <c r="E146" s="1" t="s">
        <v>1689</v>
      </c>
      <c r="F146" t="s">
        <v>487</v>
      </c>
      <c r="G146" t="s">
        <v>488</v>
      </c>
      <c r="H146">
        <v>35119</v>
      </c>
      <c r="I146">
        <v>49514536</v>
      </c>
      <c r="L146" s="2">
        <v>41689</v>
      </c>
      <c r="M146" s="3">
        <f t="shared" si="2"/>
        <v>2014</v>
      </c>
      <c r="N146" s="2">
        <v>43105</v>
      </c>
      <c r="O146">
        <v>191</v>
      </c>
      <c r="P146" s="6">
        <v>8846</v>
      </c>
      <c r="Q146">
        <v>4423</v>
      </c>
      <c r="R146">
        <v>1769.2</v>
      </c>
      <c r="S146">
        <v>220</v>
      </c>
      <c r="T146" s="6">
        <v>641.76</v>
      </c>
      <c r="U146" t="s">
        <v>157</v>
      </c>
      <c r="V146" t="s">
        <v>1682</v>
      </c>
      <c r="W146" t="s">
        <v>1687</v>
      </c>
      <c r="X146" t="s">
        <v>1683</v>
      </c>
      <c r="Y146" t="s">
        <v>1679</v>
      </c>
      <c r="Z146" t="s">
        <v>1684</v>
      </c>
      <c r="AA146" t="s">
        <v>489</v>
      </c>
      <c r="AB146">
        <v>123</v>
      </c>
      <c r="AC146">
        <v>31</v>
      </c>
      <c r="AE146">
        <v>94</v>
      </c>
      <c r="AH146" t="s">
        <v>98</v>
      </c>
    </row>
    <row r="147" spans="1:34" x14ac:dyDescent="0.25">
      <c r="A147">
        <v>146</v>
      </c>
      <c r="B147" s="5">
        <v>667495629</v>
      </c>
      <c r="C147" s="5">
        <v>85663574128</v>
      </c>
      <c r="D147">
        <v>2087</v>
      </c>
      <c r="E147" s="1" t="s">
        <v>1689</v>
      </c>
      <c r="F147" t="s">
        <v>490</v>
      </c>
      <c r="G147" t="s">
        <v>491</v>
      </c>
      <c r="H147">
        <v>35534</v>
      </c>
      <c r="I147">
        <v>25797299</v>
      </c>
      <c r="L147" s="2">
        <v>42104</v>
      </c>
      <c r="M147" s="3">
        <f t="shared" si="2"/>
        <v>2015</v>
      </c>
      <c r="N147" s="2">
        <v>42530</v>
      </c>
      <c r="O147">
        <v>222</v>
      </c>
      <c r="P147" s="6">
        <v>21354</v>
      </c>
      <c r="Q147">
        <v>10677</v>
      </c>
      <c r="R147">
        <v>4270.8</v>
      </c>
      <c r="S147">
        <v>176</v>
      </c>
      <c r="T147" s="6">
        <v>745.92000000000007</v>
      </c>
      <c r="U147" t="s">
        <v>127</v>
      </c>
      <c r="V147" t="s">
        <v>1686</v>
      </c>
      <c r="W147" t="s">
        <v>1685</v>
      </c>
      <c r="X147" t="s">
        <v>1683</v>
      </c>
      <c r="Y147" t="s">
        <v>1679</v>
      </c>
      <c r="Z147" t="s">
        <v>1684</v>
      </c>
      <c r="AA147" t="s">
        <v>492</v>
      </c>
      <c r="AB147">
        <v>54</v>
      </c>
      <c r="AC147">
        <v>53</v>
      </c>
      <c r="AE147">
        <v>20</v>
      </c>
      <c r="AH147" t="s">
        <v>57</v>
      </c>
    </row>
    <row r="148" spans="1:34" x14ac:dyDescent="0.25">
      <c r="A148">
        <v>147</v>
      </c>
      <c r="B148" s="5">
        <v>513196169</v>
      </c>
      <c r="C148" s="5">
        <v>66664088990</v>
      </c>
      <c r="D148">
        <v>3177</v>
      </c>
      <c r="E148" s="1" t="s">
        <v>1689</v>
      </c>
      <c r="F148" t="s">
        <v>493</v>
      </c>
      <c r="G148" t="s">
        <v>494</v>
      </c>
      <c r="H148">
        <v>31458</v>
      </c>
      <c r="I148">
        <v>34647307</v>
      </c>
      <c r="L148" s="2">
        <v>38779</v>
      </c>
      <c r="M148" s="3">
        <f t="shared" si="2"/>
        <v>2006</v>
      </c>
      <c r="N148" s="2">
        <v>39524</v>
      </c>
      <c r="O148">
        <v>205</v>
      </c>
      <c r="P148" s="6">
        <v>6148</v>
      </c>
      <c r="Q148">
        <v>3074</v>
      </c>
      <c r="R148">
        <v>1229.6000000000001</v>
      </c>
      <c r="S148">
        <v>264</v>
      </c>
      <c r="T148" s="6">
        <v>688.80000000000007</v>
      </c>
      <c r="U148" t="s">
        <v>39</v>
      </c>
      <c r="V148" t="s">
        <v>1677</v>
      </c>
      <c r="W148" t="s">
        <v>1681</v>
      </c>
      <c r="X148" t="s">
        <v>1675</v>
      </c>
      <c r="Y148" t="s">
        <v>1679</v>
      </c>
      <c r="Z148" t="s">
        <v>1680</v>
      </c>
      <c r="AA148" t="s">
        <v>495</v>
      </c>
      <c r="AB148">
        <v>88</v>
      </c>
      <c r="AC148">
        <v>60</v>
      </c>
      <c r="AE148">
        <v>72</v>
      </c>
      <c r="AH148" t="s">
        <v>41</v>
      </c>
    </row>
    <row r="149" spans="1:34" x14ac:dyDescent="0.25">
      <c r="A149">
        <v>148</v>
      </c>
      <c r="B149" s="5">
        <v>394177057</v>
      </c>
      <c r="C149" s="5">
        <v>44426553762</v>
      </c>
      <c r="D149">
        <v>7012</v>
      </c>
      <c r="E149" s="1" t="s">
        <v>1689</v>
      </c>
      <c r="F149" t="s">
        <v>496</v>
      </c>
      <c r="G149" t="s">
        <v>497</v>
      </c>
      <c r="H149">
        <v>33276</v>
      </c>
      <c r="I149">
        <v>48922500</v>
      </c>
      <c r="L149" s="2">
        <v>40808</v>
      </c>
      <c r="M149" s="3">
        <f t="shared" si="2"/>
        <v>2011</v>
      </c>
      <c r="N149" s="2" t="s">
        <v>28</v>
      </c>
      <c r="O149">
        <v>167</v>
      </c>
      <c r="P149" s="6">
        <v>24596</v>
      </c>
      <c r="Q149">
        <v>12298</v>
      </c>
      <c r="R149">
        <v>4919.2000000000007</v>
      </c>
      <c r="S149">
        <v>242</v>
      </c>
      <c r="T149" s="6">
        <v>561.12</v>
      </c>
      <c r="U149" t="s">
        <v>44</v>
      </c>
      <c r="V149" t="s">
        <v>1682</v>
      </c>
      <c r="W149" t="s">
        <v>1681</v>
      </c>
      <c r="X149" t="s">
        <v>1683</v>
      </c>
      <c r="Y149" t="s">
        <v>1679</v>
      </c>
      <c r="Z149" t="s">
        <v>1684</v>
      </c>
      <c r="AA149" t="s">
        <v>498</v>
      </c>
      <c r="AB149">
        <v>127</v>
      </c>
      <c r="AC149">
        <v>21</v>
      </c>
      <c r="AE149">
        <v>199</v>
      </c>
      <c r="AH149" t="s">
        <v>41</v>
      </c>
    </row>
    <row r="150" spans="1:34" x14ac:dyDescent="0.25">
      <c r="A150">
        <v>149</v>
      </c>
      <c r="B150" s="5">
        <v>204172912</v>
      </c>
      <c r="C150" s="5">
        <v>40801914593</v>
      </c>
      <c r="D150">
        <v>6510</v>
      </c>
      <c r="E150" s="1" t="s">
        <v>1688</v>
      </c>
      <c r="F150" t="s">
        <v>499</v>
      </c>
      <c r="G150" t="s">
        <v>500</v>
      </c>
      <c r="H150">
        <v>33231</v>
      </c>
      <c r="I150">
        <v>21954100</v>
      </c>
      <c r="L150" s="2">
        <v>39801</v>
      </c>
      <c r="M150" s="3">
        <f t="shared" si="2"/>
        <v>2008</v>
      </c>
      <c r="N150" s="2" t="s">
        <v>28</v>
      </c>
      <c r="O150">
        <v>198</v>
      </c>
      <c r="P150" s="6">
        <v>5078</v>
      </c>
      <c r="Q150">
        <v>2539</v>
      </c>
      <c r="R150">
        <v>1015.6</v>
      </c>
      <c r="S150">
        <v>308</v>
      </c>
      <c r="T150" s="6">
        <v>665.28000000000009</v>
      </c>
      <c r="U150" t="s">
        <v>168</v>
      </c>
      <c r="V150" t="s">
        <v>1677</v>
      </c>
      <c r="W150" t="s">
        <v>1687</v>
      </c>
      <c r="X150" t="s">
        <v>1675</v>
      </c>
      <c r="Y150" t="s">
        <v>1679</v>
      </c>
      <c r="Z150" t="s">
        <v>1680</v>
      </c>
      <c r="AA150" t="s">
        <v>501</v>
      </c>
      <c r="AB150">
        <v>47</v>
      </c>
      <c r="AC150">
        <v>29</v>
      </c>
      <c r="AE150">
        <v>98</v>
      </c>
      <c r="AH150" t="s">
        <v>98</v>
      </c>
    </row>
    <row r="151" spans="1:34" x14ac:dyDescent="0.25">
      <c r="A151">
        <v>150</v>
      </c>
      <c r="B151" s="5">
        <v>182405163</v>
      </c>
      <c r="C151" s="5">
        <v>98115682971</v>
      </c>
      <c r="D151">
        <v>7157</v>
      </c>
      <c r="E151" s="1" t="s">
        <v>1688</v>
      </c>
      <c r="F151" t="s">
        <v>502</v>
      </c>
      <c r="G151" t="s">
        <v>503</v>
      </c>
      <c r="H151">
        <v>33015</v>
      </c>
      <c r="I151">
        <v>46655812</v>
      </c>
      <c r="L151" s="2">
        <v>39585</v>
      </c>
      <c r="M151" s="3">
        <f t="shared" si="2"/>
        <v>2008</v>
      </c>
      <c r="N151" s="2" t="s">
        <v>28</v>
      </c>
      <c r="O151">
        <v>229</v>
      </c>
      <c r="P151" s="6">
        <v>15939</v>
      </c>
      <c r="Q151">
        <v>7969.5</v>
      </c>
      <c r="R151">
        <v>3187.8</v>
      </c>
      <c r="S151">
        <v>220</v>
      </c>
      <c r="T151" s="6">
        <v>769.44</v>
      </c>
      <c r="U151" t="s">
        <v>157</v>
      </c>
      <c r="V151" t="s">
        <v>1682</v>
      </c>
      <c r="W151" t="s">
        <v>1687</v>
      </c>
      <c r="X151" t="s">
        <v>1683</v>
      </c>
      <c r="Y151" t="s">
        <v>1679</v>
      </c>
      <c r="Z151" t="s">
        <v>1684</v>
      </c>
      <c r="AA151" t="s">
        <v>504</v>
      </c>
      <c r="AB151">
        <v>43</v>
      </c>
      <c r="AC151">
        <v>50</v>
      </c>
      <c r="AE151">
        <v>157</v>
      </c>
      <c r="AH151" t="s">
        <v>98</v>
      </c>
    </row>
    <row r="152" spans="1:34" x14ac:dyDescent="0.25">
      <c r="A152">
        <v>151</v>
      </c>
      <c r="B152" s="5">
        <v>251544740</v>
      </c>
      <c r="C152" s="5">
        <v>32343554925</v>
      </c>
      <c r="D152">
        <v>3305</v>
      </c>
      <c r="E152" s="1" t="s">
        <v>1689</v>
      </c>
      <c r="F152" t="s">
        <v>505</v>
      </c>
      <c r="G152" t="s">
        <v>506</v>
      </c>
      <c r="H152">
        <v>27645</v>
      </c>
      <c r="I152">
        <v>31653600</v>
      </c>
      <c r="L152" s="2">
        <v>39923</v>
      </c>
      <c r="M152" s="3">
        <f t="shared" si="2"/>
        <v>2009</v>
      </c>
      <c r="N152" s="2" t="s">
        <v>28</v>
      </c>
      <c r="O152">
        <v>213</v>
      </c>
      <c r="P152" s="6">
        <v>14591</v>
      </c>
      <c r="Q152">
        <v>7295.5</v>
      </c>
      <c r="R152">
        <v>2918.2000000000003</v>
      </c>
      <c r="S152">
        <v>220</v>
      </c>
      <c r="T152" s="6">
        <v>715.68</v>
      </c>
      <c r="U152" t="s">
        <v>82</v>
      </c>
      <c r="V152" t="s">
        <v>1677</v>
      </c>
      <c r="W152" t="s">
        <v>1685</v>
      </c>
      <c r="X152" t="s">
        <v>1675</v>
      </c>
      <c r="Y152" t="s">
        <v>1679</v>
      </c>
      <c r="Z152" t="s">
        <v>1680</v>
      </c>
      <c r="AA152" t="s">
        <v>507</v>
      </c>
      <c r="AB152">
        <v>31</v>
      </c>
      <c r="AC152">
        <v>9</v>
      </c>
      <c r="AE152">
        <v>174</v>
      </c>
      <c r="AH152" t="s">
        <v>57</v>
      </c>
    </row>
    <row r="153" spans="1:34" x14ac:dyDescent="0.25">
      <c r="A153">
        <v>152</v>
      </c>
      <c r="B153" s="5">
        <v>225189401</v>
      </c>
      <c r="C153" s="5">
        <v>87001444811</v>
      </c>
      <c r="D153">
        <v>2731</v>
      </c>
      <c r="E153" s="1" t="s">
        <v>1688</v>
      </c>
      <c r="F153" t="s">
        <v>508</v>
      </c>
      <c r="G153" t="s">
        <v>509</v>
      </c>
      <c r="H153">
        <v>29931</v>
      </c>
      <c r="I153">
        <v>42215643</v>
      </c>
      <c r="L153" s="2">
        <v>42935</v>
      </c>
      <c r="M153" s="3">
        <f t="shared" si="2"/>
        <v>2017</v>
      </c>
      <c r="N153" s="2" t="s">
        <v>28</v>
      </c>
      <c r="O153">
        <v>217</v>
      </c>
      <c r="P153" s="6">
        <v>24814</v>
      </c>
      <c r="Q153">
        <v>12407</v>
      </c>
      <c r="R153">
        <v>4962.8</v>
      </c>
      <c r="S153">
        <v>286</v>
      </c>
      <c r="T153" s="6">
        <v>729.12</v>
      </c>
      <c r="U153" t="s">
        <v>172</v>
      </c>
      <c r="V153" t="s">
        <v>1686</v>
      </c>
      <c r="W153" t="s">
        <v>1674</v>
      </c>
      <c r="X153" t="s">
        <v>1683</v>
      </c>
      <c r="Y153" t="s">
        <v>1679</v>
      </c>
      <c r="Z153" t="s">
        <v>1684</v>
      </c>
      <c r="AA153" t="s">
        <v>510</v>
      </c>
      <c r="AB153">
        <v>76</v>
      </c>
      <c r="AC153">
        <v>51</v>
      </c>
      <c r="AE153">
        <v>6</v>
      </c>
      <c r="AH153" t="s">
        <v>31</v>
      </c>
    </row>
    <row r="154" spans="1:34" x14ac:dyDescent="0.25">
      <c r="A154">
        <v>153</v>
      </c>
      <c r="B154" s="5">
        <v>395791459</v>
      </c>
      <c r="C154" s="5">
        <v>63970323429</v>
      </c>
      <c r="D154">
        <v>1973</v>
      </c>
      <c r="E154" s="1" t="s">
        <v>1688</v>
      </c>
      <c r="F154" t="s">
        <v>511</v>
      </c>
      <c r="G154" t="s">
        <v>512</v>
      </c>
      <c r="H154">
        <v>28626</v>
      </c>
      <c r="I154">
        <v>46440824</v>
      </c>
      <c r="L154" s="2">
        <v>41457</v>
      </c>
      <c r="M154" s="3">
        <f t="shared" si="2"/>
        <v>2013</v>
      </c>
      <c r="N154" s="2">
        <v>41998</v>
      </c>
      <c r="O154">
        <v>191</v>
      </c>
      <c r="P154" s="6">
        <v>24756</v>
      </c>
      <c r="Q154">
        <v>12378</v>
      </c>
      <c r="R154">
        <v>4951.2000000000007</v>
      </c>
      <c r="S154">
        <v>264</v>
      </c>
      <c r="T154" s="6">
        <v>641.76</v>
      </c>
      <c r="U154" t="s">
        <v>78</v>
      </c>
      <c r="V154" t="s">
        <v>1680</v>
      </c>
      <c r="W154" t="s">
        <v>1678</v>
      </c>
      <c r="X154" t="s">
        <v>1675</v>
      </c>
      <c r="Y154" t="s">
        <v>61</v>
      </c>
      <c r="Z154" t="s">
        <v>1676</v>
      </c>
      <c r="AA154" t="s">
        <v>513</v>
      </c>
      <c r="AB154">
        <v>82</v>
      </c>
      <c r="AC154">
        <v>44</v>
      </c>
      <c r="AE154">
        <v>198</v>
      </c>
      <c r="AH154" t="s">
        <v>36</v>
      </c>
    </row>
    <row r="155" spans="1:34" x14ac:dyDescent="0.25">
      <c r="A155">
        <v>154</v>
      </c>
      <c r="B155" s="5">
        <v>330677676</v>
      </c>
      <c r="C155" s="5">
        <v>60657640935</v>
      </c>
      <c r="D155">
        <v>2570</v>
      </c>
      <c r="E155" s="1" t="s">
        <v>1688</v>
      </c>
      <c r="F155" t="s">
        <v>514</v>
      </c>
      <c r="G155" t="s">
        <v>515</v>
      </c>
      <c r="H155">
        <v>28687</v>
      </c>
      <c r="I155">
        <v>39693700</v>
      </c>
      <c r="L155" s="2">
        <v>36796</v>
      </c>
      <c r="M155" s="3">
        <f t="shared" si="2"/>
        <v>2000</v>
      </c>
      <c r="N155" s="2" t="s">
        <v>28</v>
      </c>
      <c r="O155">
        <v>173</v>
      </c>
      <c r="P155" s="6">
        <v>9986</v>
      </c>
      <c r="Q155">
        <v>4993</v>
      </c>
      <c r="R155">
        <v>1997.2</v>
      </c>
      <c r="S155">
        <v>242</v>
      </c>
      <c r="T155" s="6">
        <v>581.28000000000009</v>
      </c>
      <c r="U155" t="s">
        <v>168</v>
      </c>
      <c r="V155" t="s">
        <v>1677</v>
      </c>
      <c r="W155" t="s">
        <v>1687</v>
      </c>
      <c r="X155" t="s">
        <v>1675</v>
      </c>
      <c r="Y155" t="s">
        <v>1679</v>
      </c>
      <c r="Z155" t="s">
        <v>1680</v>
      </c>
      <c r="AA155" t="s">
        <v>516</v>
      </c>
      <c r="AB155">
        <v>148</v>
      </c>
      <c r="AC155">
        <v>11</v>
      </c>
      <c r="AE155">
        <v>82</v>
      </c>
      <c r="AH155" t="s">
        <v>98</v>
      </c>
    </row>
    <row r="156" spans="1:34" x14ac:dyDescent="0.25">
      <c r="A156">
        <v>155</v>
      </c>
      <c r="B156" s="5">
        <v>259228025</v>
      </c>
      <c r="C156" s="5">
        <v>26060218903</v>
      </c>
      <c r="D156">
        <v>6989</v>
      </c>
      <c r="E156" s="1" t="s">
        <v>1689</v>
      </c>
      <c r="F156" t="s">
        <v>517</v>
      </c>
      <c r="G156" t="s">
        <v>518</v>
      </c>
      <c r="H156">
        <v>27483</v>
      </c>
      <c r="I156">
        <v>42449215</v>
      </c>
      <c r="L156" s="2">
        <v>38518</v>
      </c>
      <c r="M156" s="3">
        <f t="shared" si="2"/>
        <v>2005</v>
      </c>
      <c r="N156" s="2" t="s">
        <v>28</v>
      </c>
      <c r="O156">
        <v>232</v>
      </c>
      <c r="P156" s="6">
        <v>5447</v>
      </c>
      <c r="Q156">
        <v>2723.5</v>
      </c>
      <c r="R156">
        <v>1089.4000000000001</v>
      </c>
      <c r="S156">
        <v>220</v>
      </c>
      <c r="T156" s="6">
        <v>779.52</v>
      </c>
      <c r="U156" t="s">
        <v>68</v>
      </c>
      <c r="V156" t="s">
        <v>1686</v>
      </c>
      <c r="W156" t="s">
        <v>1681</v>
      </c>
      <c r="X156" t="s">
        <v>1683</v>
      </c>
      <c r="Y156" t="s">
        <v>1679</v>
      </c>
      <c r="Z156" t="s">
        <v>1684</v>
      </c>
      <c r="AA156" t="s">
        <v>519</v>
      </c>
      <c r="AB156">
        <v>142</v>
      </c>
      <c r="AC156">
        <v>1</v>
      </c>
      <c r="AE156">
        <v>131</v>
      </c>
      <c r="AH156" t="s">
        <v>41</v>
      </c>
    </row>
    <row r="157" spans="1:34" x14ac:dyDescent="0.25">
      <c r="A157">
        <v>156</v>
      </c>
      <c r="B157" s="5">
        <v>408044704</v>
      </c>
      <c r="C157" s="5">
        <v>21205192288</v>
      </c>
      <c r="D157">
        <v>6806</v>
      </c>
      <c r="E157" s="1" t="s">
        <v>1688</v>
      </c>
      <c r="F157" t="s">
        <v>520</v>
      </c>
      <c r="G157" t="s">
        <v>521</v>
      </c>
      <c r="H157">
        <v>29620</v>
      </c>
      <c r="I157">
        <v>48760082</v>
      </c>
      <c r="L157" s="2">
        <v>36874</v>
      </c>
      <c r="M157" s="3">
        <f t="shared" si="2"/>
        <v>2000</v>
      </c>
      <c r="N157" s="2" t="s">
        <v>28</v>
      </c>
      <c r="O157">
        <v>236</v>
      </c>
      <c r="P157" s="6">
        <v>8431</v>
      </c>
      <c r="Q157">
        <v>4215.5</v>
      </c>
      <c r="R157">
        <v>1686.2</v>
      </c>
      <c r="S157">
        <v>286</v>
      </c>
      <c r="T157" s="6">
        <v>792.96</v>
      </c>
      <c r="U157" t="s">
        <v>172</v>
      </c>
      <c r="V157" t="s">
        <v>1686</v>
      </c>
      <c r="W157" t="s">
        <v>1674</v>
      </c>
      <c r="X157" t="s">
        <v>1683</v>
      </c>
      <c r="Y157" t="s">
        <v>1679</v>
      </c>
      <c r="Z157" t="s">
        <v>1684</v>
      </c>
      <c r="AA157" t="s">
        <v>522</v>
      </c>
      <c r="AB157">
        <v>106</v>
      </c>
      <c r="AC157">
        <v>2</v>
      </c>
      <c r="AE157">
        <v>22</v>
      </c>
      <c r="AH157" t="s">
        <v>31</v>
      </c>
    </row>
    <row r="158" spans="1:34" x14ac:dyDescent="0.25">
      <c r="A158">
        <v>157</v>
      </c>
      <c r="B158" s="5">
        <v>390520641</v>
      </c>
      <c r="C158" s="5">
        <v>60034462482</v>
      </c>
      <c r="D158">
        <v>3393</v>
      </c>
      <c r="E158" s="1" t="s">
        <v>1688</v>
      </c>
      <c r="F158" t="s">
        <v>523</v>
      </c>
      <c r="G158" t="s">
        <v>524</v>
      </c>
      <c r="H158">
        <v>27359</v>
      </c>
      <c r="I158">
        <v>32038710</v>
      </c>
      <c r="L158" s="2">
        <v>36341</v>
      </c>
      <c r="M158" s="3">
        <f t="shared" si="2"/>
        <v>1999</v>
      </c>
      <c r="N158" s="2" t="s">
        <v>28</v>
      </c>
      <c r="O158">
        <v>229</v>
      </c>
      <c r="P158" s="6">
        <v>21974</v>
      </c>
      <c r="Q158">
        <v>10987</v>
      </c>
      <c r="R158">
        <v>4394.8</v>
      </c>
      <c r="S158">
        <v>264</v>
      </c>
      <c r="T158" s="6">
        <v>769.44</v>
      </c>
      <c r="U158" t="s">
        <v>96</v>
      </c>
      <c r="V158" t="s">
        <v>1686</v>
      </c>
      <c r="W158" t="s">
        <v>1687</v>
      </c>
      <c r="X158" t="s">
        <v>1683</v>
      </c>
      <c r="Y158" t="s">
        <v>1679</v>
      </c>
      <c r="Z158" t="s">
        <v>1684</v>
      </c>
      <c r="AA158" t="s">
        <v>525</v>
      </c>
      <c r="AB158">
        <v>148</v>
      </c>
      <c r="AC158">
        <v>4</v>
      </c>
      <c r="AE158">
        <v>78</v>
      </c>
      <c r="AH158" t="s">
        <v>98</v>
      </c>
    </row>
    <row r="159" spans="1:34" x14ac:dyDescent="0.25">
      <c r="A159">
        <v>158</v>
      </c>
      <c r="B159" s="5">
        <v>111015969</v>
      </c>
      <c r="C159" s="5">
        <v>52145589049</v>
      </c>
      <c r="D159">
        <v>5454</v>
      </c>
      <c r="E159" s="1" t="s">
        <v>1689</v>
      </c>
      <c r="F159" t="s">
        <v>526</v>
      </c>
      <c r="G159" t="s">
        <v>527</v>
      </c>
      <c r="H159">
        <v>30820</v>
      </c>
      <c r="I159">
        <v>32580130</v>
      </c>
      <c r="L159" s="2">
        <v>40367</v>
      </c>
      <c r="M159" s="3">
        <f t="shared" si="2"/>
        <v>2010</v>
      </c>
      <c r="N159" s="2" t="s">
        <v>28</v>
      </c>
      <c r="O159">
        <v>198</v>
      </c>
      <c r="P159" s="6">
        <v>16859</v>
      </c>
      <c r="Q159">
        <v>8429.5</v>
      </c>
      <c r="R159">
        <v>3371.8</v>
      </c>
      <c r="S159">
        <v>242</v>
      </c>
      <c r="T159" s="6">
        <v>665.28000000000009</v>
      </c>
      <c r="U159" t="s">
        <v>140</v>
      </c>
      <c r="V159" t="s">
        <v>1682</v>
      </c>
      <c r="W159" t="s">
        <v>1678</v>
      </c>
      <c r="X159" t="s">
        <v>1683</v>
      </c>
      <c r="Y159" t="s">
        <v>1679</v>
      </c>
      <c r="Z159" t="s">
        <v>1684</v>
      </c>
      <c r="AA159" t="s">
        <v>528</v>
      </c>
      <c r="AB159">
        <v>72</v>
      </c>
      <c r="AC159">
        <v>37</v>
      </c>
      <c r="AE159">
        <v>59</v>
      </c>
      <c r="AH159" t="s">
        <v>36</v>
      </c>
    </row>
    <row r="160" spans="1:34" x14ac:dyDescent="0.25">
      <c r="A160">
        <v>159</v>
      </c>
      <c r="B160" s="5">
        <v>317971034</v>
      </c>
      <c r="C160" s="5">
        <v>73306344284</v>
      </c>
      <c r="D160">
        <v>7804</v>
      </c>
      <c r="E160" s="1" t="s">
        <v>1688</v>
      </c>
      <c r="F160" t="s">
        <v>529</v>
      </c>
      <c r="G160" t="s">
        <v>530</v>
      </c>
      <c r="H160">
        <v>36466</v>
      </c>
      <c r="I160">
        <v>36423854</v>
      </c>
      <c r="L160" s="2">
        <v>43036</v>
      </c>
      <c r="M160" s="3">
        <f t="shared" si="2"/>
        <v>2017</v>
      </c>
      <c r="N160" s="2">
        <v>43105</v>
      </c>
      <c r="O160">
        <v>173</v>
      </c>
      <c r="P160" s="6">
        <v>11745</v>
      </c>
      <c r="Q160">
        <v>5872.5</v>
      </c>
      <c r="R160">
        <v>2349</v>
      </c>
      <c r="S160">
        <v>198</v>
      </c>
      <c r="T160" s="6">
        <v>581.28000000000009</v>
      </c>
      <c r="U160" t="s">
        <v>39</v>
      </c>
      <c r="V160" t="s">
        <v>1677</v>
      </c>
      <c r="W160" t="s">
        <v>1681</v>
      </c>
      <c r="X160" t="s">
        <v>1675</v>
      </c>
      <c r="Y160" t="s">
        <v>1679</v>
      </c>
      <c r="Z160" t="s">
        <v>1680</v>
      </c>
      <c r="AA160" t="s">
        <v>531</v>
      </c>
      <c r="AB160">
        <v>81</v>
      </c>
      <c r="AC160">
        <v>38</v>
      </c>
      <c r="AE160">
        <v>161</v>
      </c>
      <c r="AH160" t="s">
        <v>41</v>
      </c>
    </row>
    <row r="161" spans="1:34" x14ac:dyDescent="0.25">
      <c r="A161">
        <v>160</v>
      </c>
      <c r="B161" s="5">
        <v>631610398</v>
      </c>
      <c r="C161" s="5">
        <v>49771991818</v>
      </c>
      <c r="D161">
        <v>3864</v>
      </c>
      <c r="E161" s="1" t="s">
        <v>1689</v>
      </c>
      <c r="F161" t="s">
        <v>532</v>
      </c>
      <c r="G161" t="s">
        <v>533</v>
      </c>
      <c r="H161">
        <v>26267</v>
      </c>
      <c r="I161">
        <v>49371991</v>
      </c>
      <c r="L161" s="2">
        <v>40314</v>
      </c>
      <c r="M161" s="3">
        <f t="shared" si="2"/>
        <v>2010</v>
      </c>
      <c r="N161" s="2" t="s">
        <v>28</v>
      </c>
      <c r="O161">
        <v>237</v>
      </c>
      <c r="P161" s="6">
        <v>23850</v>
      </c>
      <c r="Q161">
        <v>11925</v>
      </c>
      <c r="R161">
        <v>4770</v>
      </c>
      <c r="S161">
        <v>286</v>
      </c>
      <c r="T161" s="6">
        <v>796.32</v>
      </c>
      <c r="U161" t="s">
        <v>39</v>
      </c>
      <c r="V161" t="s">
        <v>1677</v>
      </c>
      <c r="W161" t="s">
        <v>1681</v>
      </c>
      <c r="X161" t="s">
        <v>1675</v>
      </c>
      <c r="Y161" t="s">
        <v>1679</v>
      </c>
      <c r="Z161" t="s">
        <v>1680</v>
      </c>
      <c r="AA161" t="s">
        <v>534</v>
      </c>
      <c r="AB161">
        <v>102</v>
      </c>
      <c r="AC161">
        <v>3</v>
      </c>
      <c r="AE161">
        <v>180</v>
      </c>
      <c r="AH161" t="s">
        <v>41</v>
      </c>
    </row>
    <row r="162" spans="1:34" x14ac:dyDescent="0.25">
      <c r="A162">
        <v>161</v>
      </c>
      <c r="B162" s="5">
        <v>544186857</v>
      </c>
      <c r="C162" s="5">
        <v>65130314579</v>
      </c>
      <c r="D162">
        <v>3555</v>
      </c>
      <c r="E162" s="1" t="s">
        <v>1688</v>
      </c>
      <c r="F162" t="s">
        <v>535</v>
      </c>
      <c r="G162" t="s">
        <v>536</v>
      </c>
      <c r="H162">
        <v>28929</v>
      </c>
      <c r="I162">
        <v>31055239</v>
      </c>
      <c r="L162" s="2">
        <v>35499</v>
      </c>
      <c r="M162" s="3">
        <f t="shared" si="2"/>
        <v>1997</v>
      </c>
      <c r="N162" s="2" t="s">
        <v>28</v>
      </c>
      <c r="O162">
        <v>198</v>
      </c>
      <c r="P162" s="6">
        <v>8736</v>
      </c>
      <c r="Q162">
        <v>4368</v>
      </c>
      <c r="R162">
        <v>1747.2</v>
      </c>
      <c r="S162">
        <v>176</v>
      </c>
      <c r="T162" s="6">
        <v>665.28000000000009</v>
      </c>
      <c r="U162" t="s">
        <v>34</v>
      </c>
      <c r="V162" t="s">
        <v>1677</v>
      </c>
      <c r="W162" t="s">
        <v>1678</v>
      </c>
      <c r="X162" t="s">
        <v>1675</v>
      </c>
      <c r="Y162" t="s">
        <v>1679</v>
      </c>
      <c r="Z162" t="s">
        <v>1680</v>
      </c>
      <c r="AA162" t="s">
        <v>537</v>
      </c>
      <c r="AB162">
        <v>30</v>
      </c>
      <c r="AC162">
        <v>31</v>
      </c>
      <c r="AE162">
        <v>117</v>
      </c>
      <c r="AH162" t="s">
        <v>36</v>
      </c>
    </row>
    <row r="163" spans="1:34" x14ac:dyDescent="0.25">
      <c r="A163">
        <v>162</v>
      </c>
      <c r="B163" s="5">
        <v>441469607</v>
      </c>
      <c r="C163" s="5">
        <v>63828548209</v>
      </c>
      <c r="D163">
        <v>1911</v>
      </c>
      <c r="E163" s="1" t="s">
        <v>1689</v>
      </c>
      <c r="F163" t="s">
        <v>538</v>
      </c>
      <c r="G163" t="s">
        <v>539</v>
      </c>
      <c r="H163">
        <v>31672</v>
      </c>
      <c r="I163">
        <v>37218757</v>
      </c>
      <c r="L163" s="2">
        <v>40611</v>
      </c>
      <c r="M163" s="3">
        <f t="shared" si="2"/>
        <v>2011</v>
      </c>
      <c r="N163" s="2" t="s">
        <v>28</v>
      </c>
      <c r="O163">
        <v>228</v>
      </c>
      <c r="P163" s="6">
        <v>11304</v>
      </c>
      <c r="Q163">
        <v>5652</v>
      </c>
      <c r="R163">
        <v>2260.8000000000002</v>
      </c>
      <c r="S163">
        <v>308</v>
      </c>
      <c r="T163" s="6">
        <v>766.07999999999993</v>
      </c>
      <c r="U163" t="s">
        <v>29</v>
      </c>
      <c r="V163" t="s">
        <v>1673</v>
      </c>
      <c r="W163" t="s">
        <v>1674</v>
      </c>
      <c r="X163" t="s">
        <v>1675</v>
      </c>
      <c r="Y163" t="s">
        <v>61</v>
      </c>
      <c r="Z163" t="s">
        <v>1676</v>
      </c>
      <c r="AA163" t="s">
        <v>540</v>
      </c>
      <c r="AB163">
        <v>75</v>
      </c>
      <c r="AC163">
        <v>7</v>
      </c>
      <c r="AE163">
        <v>180</v>
      </c>
      <c r="AH163" t="s">
        <v>31</v>
      </c>
    </row>
    <row r="164" spans="1:34" x14ac:dyDescent="0.25">
      <c r="A164">
        <v>163</v>
      </c>
      <c r="B164" s="5">
        <v>116766695</v>
      </c>
      <c r="C164" s="5">
        <v>47232756579</v>
      </c>
      <c r="D164">
        <v>1990</v>
      </c>
      <c r="E164" s="1" t="s">
        <v>1689</v>
      </c>
      <c r="F164" t="s">
        <v>541</v>
      </c>
      <c r="G164" t="s">
        <v>542</v>
      </c>
      <c r="H164">
        <v>28911</v>
      </c>
      <c r="I164">
        <v>32457327</v>
      </c>
      <c r="L164" s="2">
        <v>41493</v>
      </c>
      <c r="M164" s="3">
        <f t="shared" si="2"/>
        <v>2013</v>
      </c>
      <c r="N164" s="2" t="s">
        <v>28</v>
      </c>
      <c r="O164">
        <v>238</v>
      </c>
      <c r="P164" s="6">
        <v>13792</v>
      </c>
      <c r="Q164">
        <v>6896</v>
      </c>
      <c r="R164">
        <v>2758.4</v>
      </c>
      <c r="S164">
        <v>176</v>
      </c>
      <c r="T164" s="6">
        <v>799.68</v>
      </c>
      <c r="U164" t="s">
        <v>92</v>
      </c>
      <c r="V164" t="s">
        <v>1686</v>
      </c>
      <c r="W164" t="s">
        <v>1678</v>
      </c>
      <c r="X164" t="s">
        <v>1683</v>
      </c>
      <c r="Y164" t="s">
        <v>1679</v>
      </c>
      <c r="Z164" t="s">
        <v>1684</v>
      </c>
      <c r="AA164" t="s">
        <v>543</v>
      </c>
      <c r="AB164">
        <v>31</v>
      </c>
      <c r="AC164">
        <v>20</v>
      </c>
      <c r="AE164">
        <v>175</v>
      </c>
      <c r="AH164" t="s">
        <v>36</v>
      </c>
    </row>
    <row r="165" spans="1:34" x14ac:dyDescent="0.25">
      <c r="A165">
        <v>164</v>
      </c>
      <c r="B165" s="5">
        <v>959730891</v>
      </c>
      <c r="C165" s="5">
        <v>75645986061</v>
      </c>
      <c r="D165">
        <v>3709</v>
      </c>
      <c r="E165" s="1" t="s">
        <v>1688</v>
      </c>
      <c r="F165" t="s">
        <v>544</v>
      </c>
      <c r="G165" t="s">
        <v>545</v>
      </c>
      <c r="H165">
        <v>27658</v>
      </c>
      <c r="I165">
        <v>31170692</v>
      </c>
      <c r="L165" s="2">
        <v>37853</v>
      </c>
      <c r="M165" s="3">
        <f t="shared" si="2"/>
        <v>2003</v>
      </c>
      <c r="N165" s="2">
        <v>40643</v>
      </c>
      <c r="O165">
        <v>152</v>
      </c>
      <c r="P165" s="6">
        <v>16148</v>
      </c>
      <c r="Q165">
        <v>8074</v>
      </c>
      <c r="R165">
        <v>3229.6000000000004</v>
      </c>
      <c r="S165">
        <v>286</v>
      </c>
      <c r="T165" s="6">
        <v>510.71999999999997</v>
      </c>
      <c r="U165" t="s">
        <v>82</v>
      </c>
      <c r="V165" t="s">
        <v>1677</v>
      </c>
      <c r="W165" t="s">
        <v>1685</v>
      </c>
      <c r="X165" t="s">
        <v>1675</v>
      </c>
      <c r="Y165" t="s">
        <v>1679</v>
      </c>
      <c r="Z165" t="s">
        <v>1680</v>
      </c>
      <c r="AA165" t="s">
        <v>546</v>
      </c>
      <c r="AB165">
        <v>70</v>
      </c>
      <c r="AC165">
        <v>11</v>
      </c>
      <c r="AE165">
        <v>99</v>
      </c>
      <c r="AH165" t="s">
        <v>57</v>
      </c>
    </row>
    <row r="166" spans="1:34" x14ac:dyDescent="0.25">
      <c r="A166">
        <v>165</v>
      </c>
      <c r="B166" s="5">
        <v>264546724</v>
      </c>
      <c r="C166" s="5">
        <v>37330454703</v>
      </c>
      <c r="D166">
        <v>7496</v>
      </c>
      <c r="E166" s="1" t="s">
        <v>1688</v>
      </c>
      <c r="F166" t="s">
        <v>547</v>
      </c>
      <c r="G166" t="s">
        <v>548</v>
      </c>
      <c r="H166">
        <v>29923</v>
      </c>
      <c r="I166">
        <v>21744669</v>
      </c>
      <c r="L166" s="2">
        <v>41208</v>
      </c>
      <c r="M166" s="3">
        <f t="shared" si="2"/>
        <v>2012</v>
      </c>
      <c r="N166" s="2" t="s">
        <v>28</v>
      </c>
      <c r="O166">
        <v>162</v>
      </c>
      <c r="P166" s="6">
        <v>15401</v>
      </c>
      <c r="Q166">
        <v>7700.5</v>
      </c>
      <c r="R166">
        <v>3080.2000000000003</v>
      </c>
      <c r="S166">
        <v>176</v>
      </c>
      <c r="T166" s="6">
        <v>544.32000000000005</v>
      </c>
      <c r="U166" t="s">
        <v>120</v>
      </c>
      <c r="V166" t="s">
        <v>1673</v>
      </c>
      <c r="W166" t="s">
        <v>1681</v>
      </c>
      <c r="X166" t="s">
        <v>1675</v>
      </c>
      <c r="Y166" t="s">
        <v>61</v>
      </c>
      <c r="Z166" t="s">
        <v>1676</v>
      </c>
      <c r="AA166" t="s">
        <v>549</v>
      </c>
      <c r="AB166">
        <v>45</v>
      </c>
      <c r="AC166">
        <v>35</v>
      </c>
      <c r="AE166">
        <v>81</v>
      </c>
      <c r="AH166" t="s">
        <v>41</v>
      </c>
    </row>
    <row r="167" spans="1:34" x14ac:dyDescent="0.25">
      <c r="A167">
        <v>166</v>
      </c>
      <c r="B167" s="5">
        <v>257669584</v>
      </c>
      <c r="C167" s="5">
        <v>46857850331</v>
      </c>
      <c r="D167">
        <v>6372</v>
      </c>
      <c r="E167" s="1" t="s">
        <v>1689</v>
      </c>
      <c r="F167" t="s">
        <v>550</v>
      </c>
      <c r="G167" t="s">
        <v>551</v>
      </c>
      <c r="H167">
        <v>28706</v>
      </c>
      <c r="I167">
        <v>36006094</v>
      </c>
      <c r="L167" s="2">
        <v>38032</v>
      </c>
      <c r="M167" s="3">
        <f t="shared" si="2"/>
        <v>2004</v>
      </c>
      <c r="N167" s="2" t="s">
        <v>28</v>
      </c>
      <c r="O167">
        <v>228</v>
      </c>
      <c r="P167" s="6">
        <v>4212</v>
      </c>
      <c r="Q167">
        <v>2106</v>
      </c>
      <c r="R167">
        <v>842.40000000000009</v>
      </c>
      <c r="S167">
        <v>308</v>
      </c>
      <c r="T167" s="6">
        <v>766.07999999999993</v>
      </c>
      <c r="U167" t="s">
        <v>82</v>
      </c>
      <c r="V167" t="s">
        <v>1677</v>
      </c>
      <c r="W167" t="s">
        <v>1685</v>
      </c>
      <c r="X167" t="s">
        <v>1675</v>
      </c>
      <c r="Y167" t="s">
        <v>1679</v>
      </c>
      <c r="Z167" t="s">
        <v>1680</v>
      </c>
      <c r="AA167" t="s">
        <v>552</v>
      </c>
      <c r="AB167">
        <v>83</v>
      </c>
      <c r="AC167">
        <v>30</v>
      </c>
      <c r="AE167">
        <v>124</v>
      </c>
      <c r="AH167" t="s">
        <v>57</v>
      </c>
    </row>
    <row r="168" spans="1:34" x14ac:dyDescent="0.25">
      <c r="A168">
        <v>167</v>
      </c>
      <c r="B168" s="5">
        <v>562508073</v>
      </c>
      <c r="C168" s="5">
        <v>33613115167</v>
      </c>
      <c r="D168">
        <v>5871</v>
      </c>
      <c r="E168" s="1" t="s">
        <v>1688</v>
      </c>
      <c r="F168" t="s">
        <v>553</v>
      </c>
      <c r="G168" t="s">
        <v>554</v>
      </c>
      <c r="H168">
        <v>27644</v>
      </c>
      <c r="I168">
        <v>44845345</v>
      </c>
      <c r="L168" s="2">
        <v>37781</v>
      </c>
      <c r="M168" s="3">
        <f t="shared" si="2"/>
        <v>2003</v>
      </c>
      <c r="N168" s="2" t="s">
        <v>28</v>
      </c>
      <c r="O168">
        <v>187</v>
      </c>
      <c r="P168" s="6">
        <v>3525</v>
      </c>
      <c r="Q168">
        <v>1762.5</v>
      </c>
      <c r="R168">
        <v>705</v>
      </c>
      <c r="S168">
        <v>176</v>
      </c>
      <c r="T168" s="6">
        <v>628.32000000000005</v>
      </c>
      <c r="U168" t="s">
        <v>127</v>
      </c>
      <c r="V168" t="s">
        <v>1686</v>
      </c>
      <c r="W168" t="s">
        <v>1685</v>
      </c>
      <c r="X168" t="s">
        <v>1683</v>
      </c>
      <c r="Y168" t="s">
        <v>1679</v>
      </c>
      <c r="Z168" t="s">
        <v>1684</v>
      </c>
      <c r="AA168" t="s">
        <v>555</v>
      </c>
      <c r="AB168">
        <v>78</v>
      </c>
      <c r="AC168">
        <v>50</v>
      </c>
      <c r="AE168">
        <v>16</v>
      </c>
      <c r="AH168" t="s">
        <v>57</v>
      </c>
    </row>
    <row r="169" spans="1:34" x14ac:dyDescent="0.25">
      <c r="A169">
        <v>168</v>
      </c>
      <c r="B169" s="5">
        <v>266341456</v>
      </c>
      <c r="C169" s="5">
        <v>12614089811</v>
      </c>
      <c r="D169">
        <v>6177</v>
      </c>
      <c r="E169" s="1" t="s">
        <v>1689</v>
      </c>
      <c r="F169" t="s">
        <v>556</v>
      </c>
      <c r="G169" t="s">
        <v>557</v>
      </c>
      <c r="H169">
        <v>25892</v>
      </c>
      <c r="I169">
        <v>33593365</v>
      </c>
      <c r="L169" s="2">
        <v>36283</v>
      </c>
      <c r="M169" s="3">
        <f t="shared" si="2"/>
        <v>1999</v>
      </c>
      <c r="N169" s="2" t="s">
        <v>28</v>
      </c>
      <c r="O169">
        <v>240</v>
      </c>
      <c r="P169" s="6">
        <v>8960</v>
      </c>
      <c r="Q169">
        <v>4480</v>
      </c>
      <c r="R169">
        <v>1792</v>
      </c>
      <c r="S169">
        <v>198</v>
      </c>
      <c r="T169" s="6">
        <v>806.4</v>
      </c>
      <c r="U169" t="s">
        <v>96</v>
      </c>
      <c r="V169" t="s">
        <v>1686</v>
      </c>
      <c r="W169" t="s">
        <v>1687</v>
      </c>
      <c r="X169" t="s">
        <v>1683</v>
      </c>
      <c r="Y169" t="s">
        <v>1679</v>
      </c>
      <c r="Z169" t="s">
        <v>1684</v>
      </c>
      <c r="AA169" t="s">
        <v>558</v>
      </c>
      <c r="AB169">
        <v>23</v>
      </c>
      <c r="AC169">
        <v>34</v>
      </c>
      <c r="AE169">
        <v>199</v>
      </c>
      <c r="AH169" t="s">
        <v>98</v>
      </c>
    </row>
    <row r="170" spans="1:34" x14ac:dyDescent="0.25">
      <c r="A170">
        <v>169</v>
      </c>
      <c r="B170" s="5">
        <v>348509149</v>
      </c>
      <c r="C170" s="5">
        <v>63113882290</v>
      </c>
      <c r="D170">
        <v>1729</v>
      </c>
      <c r="E170" s="1" t="s">
        <v>1689</v>
      </c>
      <c r="F170" t="s">
        <v>559</v>
      </c>
      <c r="G170" t="s">
        <v>560</v>
      </c>
      <c r="H170">
        <v>29862</v>
      </c>
      <c r="I170">
        <v>45758272</v>
      </c>
      <c r="L170" s="2">
        <v>38789</v>
      </c>
      <c r="M170" s="3">
        <f t="shared" si="2"/>
        <v>2006</v>
      </c>
      <c r="N170" s="2" t="s">
        <v>28</v>
      </c>
      <c r="O170">
        <v>248</v>
      </c>
      <c r="P170" s="6">
        <v>12538</v>
      </c>
      <c r="Q170">
        <v>6269</v>
      </c>
      <c r="R170">
        <v>2507.6000000000004</v>
      </c>
      <c r="S170">
        <v>308</v>
      </c>
      <c r="T170" s="6">
        <v>833.28000000000009</v>
      </c>
      <c r="U170" t="s">
        <v>168</v>
      </c>
      <c r="V170" t="s">
        <v>1677</v>
      </c>
      <c r="W170" t="s">
        <v>1687</v>
      </c>
      <c r="X170" t="s">
        <v>1675</v>
      </c>
      <c r="Y170" t="s">
        <v>1679</v>
      </c>
      <c r="Z170" t="s">
        <v>1680</v>
      </c>
      <c r="AA170" t="s">
        <v>561</v>
      </c>
      <c r="AB170">
        <v>75</v>
      </c>
      <c r="AC170">
        <v>50</v>
      </c>
      <c r="AE170">
        <v>126</v>
      </c>
      <c r="AH170" t="s">
        <v>98</v>
      </c>
    </row>
    <row r="171" spans="1:34" x14ac:dyDescent="0.25">
      <c r="A171">
        <v>170</v>
      </c>
      <c r="B171" s="5">
        <v>935370184</v>
      </c>
      <c r="C171" s="3">
        <v>1704841288</v>
      </c>
      <c r="D171">
        <v>6455</v>
      </c>
      <c r="E171" s="1" t="s">
        <v>1689</v>
      </c>
      <c r="F171" t="s">
        <v>562</v>
      </c>
      <c r="G171" t="s">
        <v>563</v>
      </c>
      <c r="H171">
        <v>35052</v>
      </c>
      <c r="I171">
        <v>23059569</v>
      </c>
      <c r="L171" s="2">
        <v>41622</v>
      </c>
      <c r="M171" s="3">
        <f t="shared" si="2"/>
        <v>2013</v>
      </c>
      <c r="N171" s="2" t="s">
        <v>28</v>
      </c>
      <c r="O171">
        <v>170</v>
      </c>
      <c r="P171" s="6">
        <v>13732</v>
      </c>
      <c r="Q171">
        <v>6866</v>
      </c>
      <c r="R171">
        <v>2746.4</v>
      </c>
      <c r="S171">
        <v>286</v>
      </c>
      <c r="T171" s="6">
        <v>571.19999999999993</v>
      </c>
      <c r="U171" t="s">
        <v>82</v>
      </c>
      <c r="V171" t="s">
        <v>1677</v>
      </c>
      <c r="W171" t="s">
        <v>1685</v>
      </c>
      <c r="X171" t="s">
        <v>1675</v>
      </c>
      <c r="Y171" t="s">
        <v>1679</v>
      </c>
      <c r="Z171" t="s">
        <v>1680</v>
      </c>
      <c r="AA171" t="s">
        <v>564</v>
      </c>
      <c r="AB171">
        <v>24</v>
      </c>
      <c r="AC171">
        <v>13</v>
      </c>
      <c r="AE171">
        <v>153</v>
      </c>
      <c r="AH171" t="s">
        <v>57</v>
      </c>
    </row>
    <row r="172" spans="1:34" x14ac:dyDescent="0.25">
      <c r="A172">
        <v>171</v>
      </c>
      <c r="B172" s="5">
        <v>856395060</v>
      </c>
      <c r="C172" s="5">
        <v>79621175549</v>
      </c>
      <c r="D172">
        <v>6474</v>
      </c>
      <c r="E172" s="1" t="s">
        <v>1689</v>
      </c>
      <c r="F172" t="s">
        <v>565</v>
      </c>
      <c r="G172" t="s">
        <v>566</v>
      </c>
      <c r="H172">
        <v>36494</v>
      </c>
      <c r="I172">
        <v>49653236</v>
      </c>
      <c r="L172" s="2">
        <v>43064</v>
      </c>
      <c r="M172" s="3">
        <f t="shared" si="2"/>
        <v>2017</v>
      </c>
      <c r="N172" s="2">
        <v>43105</v>
      </c>
      <c r="O172">
        <v>222</v>
      </c>
      <c r="P172" s="6">
        <v>22040</v>
      </c>
      <c r="Q172">
        <v>11020</v>
      </c>
      <c r="R172">
        <v>4408</v>
      </c>
      <c r="S172">
        <v>220</v>
      </c>
      <c r="T172" s="6">
        <v>745.92000000000007</v>
      </c>
      <c r="U172" t="s">
        <v>34</v>
      </c>
      <c r="V172" t="s">
        <v>1677</v>
      </c>
      <c r="W172" t="s">
        <v>1678</v>
      </c>
      <c r="X172" t="s">
        <v>1675</v>
      </c>
      <c r="Y172" t="s">
        <v>1679</v>
      </c>
      <c r="Z172" t="s">
        <v>1680</v>
      </c>
      <c r="AA172" t="s">
        <v>567</v>
      </c>
      <c r="AB172">
        <v>147</v>
      </c>
      <c r="AC172">
        <v>42</v>
      </c>
      <c r="AE172">
        <v>82</v>
      </c>
      <c r="AH172" t="s">
        <v>36</v>
      </c>
    </row>
    <row r="173" spans="1:34" x14ac:dyDescent="0.25">
      <c r="A173">
        <v>172</v>
      </c>
      <c r="B173" s="5">
        <v>280833936</v>
      </c>
      <c r="C173" s="5">
        <v>75639085014</v>
      </c>
      <c r="D173">
        <v>3887</v>
      </c>
      <c r="E173" s="1" t="s">
        <v>1689</v>
      </c>
      <c r="F173" t="s">
        <v>568</v>
      </c>
      <c r="G173" t="s">
        <v>569</v>
      </c>
      <c r="H173">
        <v>27131</v>
      </c>
      <c r="I173">
        <v>47975204</v>
      </c>
      <c r="L173" s="2">
        <v>40763</v>
      </c>
      <c r="M173" s="3">
        <f t="shared" si="2"/>
        <v>2011</v>
      </c>
      <c r="N173" s="2" t="s">
        <v>28</v>
      </c>
      <c r="O173">
        <v>247</v>
      </c>
      <c r="P173" s="6">
        <v>23092</v>
      </c>
      <c r="Q173">
        <v>11546</v>
      </c>
      <c r="R173">
        <v>4618.4000000000005</v>
      </c>
      <c r="S173">
        <v>198</v>
      </c>
      <c r="T173" s="6">
        <v>829.92000000000007</v>
      </c>
      <c r="U173" t="s">
        <v>157</v>
      </c>
      <c r="V173" t="s">
        <v>1682</v>
      </c>
      <c r="W173" t="s">
        <v>1687</v>
      </c>
      <c r="X173" t="s">
        <v>1683</v>
      </c>
      <c r="Y173" t="s">
        <v>1679</v>
      </c>
      <c r="Z173" t="s">
        <v>1684</v>
      </c>
      <c r="AA173" t="s">
        <v>570</v>
      </c>
      <c r="AB173">
        <v>129</v>
      </c>
      <c r="AC173">
        <v>41</v>
      </c>
      <c r="AE173">
        <v>17</v>
      </c>
      <c r="AH173" t="s">
        <v>98</v>
      </c>
    </row>
    <row r="174" spans="1:34" x14ac:dyDescent="0.25">
      <c r="A174">
        <v>173</v>
      </c>
      <c r="B174" s="5">
        <v>768460080</v>
      </c>
      <c r="C174" s="3">
        <v>4962147267</v>
      </c>
      <c r="D174">
        <v>4760</v>
      </c>
      <c r="E174" s="1" t="s">
        <v>1688</v>
      </c>
      <c r="F174" t="s">
        <v>571</v>
      </c>
      <c r="G174" t="s">
        <v>572</v>
      </c>
      <c r="H174">
        <v>31470</v>
      </c>
      <c r="I174">
        <v>42683631</v>
      </c>
      <c r="L174" s="2">
        <v>40174</v>
      </c>
      <c r="M174" s="3">
        <f t="shared" si="2"/>
        <v>2009</v>
      </c>
      <c r="N174" s="2" t="s">
        <v>28</v>
      </c>
      <c r="O174">
        <v>197</v>
      </c>
      <c r="P174" s="6">
        <v>18029</v>
      </c>
      <c r="Q174">
        <v>9014.5</v>
      </c>
      <c r="R174">
        <v>3605.8</v>
      </c>
      <c r="S174">
        <v>176</v>
      </c>
      <c r="T174" s="6">
        <v>661.92000000000007</v>
      </c>
      <c r="U174" t="s">
        <v>96</v>
      </c>
      <c r="V174" t="s">
        <v>1686</v>
      </c>
      <c r="W174" t="s">
        <v>1687</v>
      </c>
      <c r="X174" t="s">
        <v>1683</v>
      </c>
      <c r="Y174" t="s">
        <v>1679</v>
      </c>
      <c r="Z174" t="s">
        <v>1684</v>
      </c>
      <c r="AA174" t="s">
        <v>573</v>
      </c>
      <c r="AB174">
        <v>106</v>
      </c>
      <c r="AC174">
        <v>35</v>
      </c>
      <c r="AE174">
        <v>120</v>
      </c>
      <c r="AH174" t="s">
        <v>98</v>
      </c>
    </row>
    <row r="175" spans="1:34" x14ac:dyDescent="0.25">
      <c r="A175">
        <v>174</v>
      </c>
      <c r="B175" s="5">
        <v>127317401</v>
      </c>
      <c r="C175" s="5">
        <v>16999675314</v>
      </c>
      <c r="D175">
        <v>7951</v>
      </c>
      <c r="E175" s="1" t="s">
        <v>1688</v>
      </c>
      <c r="F175" t="s">
        <v>574</v>
      </c>
      <c r="G175" t="s">
        <v>575</v>
      </c>
      <c r="H175">
        <v>31083</v>
      </c>
      <c r="I175">
        <v>44325748</v>
      </c>
      <c r="L175" s="2">
        <v>39145</v>
      </c>
      <c r="M175" s="3">
        <f t="shared" si="2"/>
        <v>2007</v>
      </c>
      <c r="N175" s="2" t="s">
        <v>28</v>
      </c>
      <c r="O175">
        <v>201</v>
      </c>
      <c r="P175" s="6">
        <v>10608</v>
      </c>
      <c r="Q175">
        <v>5304</v>
      </c>
      <c r="R175">
        <v>2121.6</v>
      </c>
      <c r="S175">
        <v>176</v>
      </c>
      <c r="T175" s="6">
        <v>675.36</v>
      </c>
      <c r="U175" t="s">
        <v>157</v>
      </c>
      <c r="V175" t="s">
        <v>1682</v>
      </c>
      <c r="W175" t="s">
        <v>1687</v>
      </c>
      <c r="X175" t="s">
        <v>1683</v>
      </c>
      <c r="Y175" t="s">
        <v>1679</v>
      </c>
      <c r="Z175" t="s">
        <v>1684</v>
      </c>
      <c r="AA175" t="s">
        <v>576</v>
      </c>
      <c r="AB175">
        <v>82</v>
      </c>
      <c r="AC175">
        <v>46</v>
      </c>
      <c r="AE175">
        <v>102</v>
      </c>
      <c r="AH175" t="s">
        <v>98</v>
      </c>
    </row>
    <row r="176" spans="1:34" x14ac:dyDescent="0.25">
      <c r="A176">
        <v>175</v>
      </c>
      <c r="B176" s="5">
        <v>129739629</v>
      </c>
      <c r="C176" s="3">
        <v>954465382</v>
      </c>
      <c r="D176">
        <v>2739</v>
      </c>
      <c r="E176" s="1" t="s">
        <v>1688</v>
      </c>
      <c r="F176" t="s">
        <v>577</v>
      </c>
      <c r="G176" t="s">
        <v>578</v>
      </c>
      <c r="H176">
        <v>28993</v>
      </c>
      <c r="I176">
        <v>38509099</v>
      </c>
      <c r="L176" s="2">
        <v>42490</v>
      </c>
      <c r="M176" s="3">
        <f t="shared" si="2"/>
        <v>2016</v>
      </c>
      <c r="N176" s="2">
        <v>43105</v>
      </c>
      <c r="O176">
        <v>208</v>
      </c>
      <c r="P176" s="6">
        <v>12612</v>
      </c>
      <c r="Q176">
        <v>6306</v>
      </c>
      <c r="R176">
        <v>2522.4</v>
      </c>
      <c r="S176">
        <v>198</v>
      </c>
      <c r="T176" s="6">
        <v>698.88</v>
      </c>
      <c r="U176" t="s">
        <v>150</v>
      </c>
      <c r="V176" t="s">
        <v>1680</v>
      </c>
      <c r="W176" t="s">
        <v>1674</v>
      </c>
      <c r="X176" t="s">
        <v>1675</v>
      </c>
      <c r="Y176" t="s">
        <v>61</v>
      </c>
      <c r="Z176" t="s">
        <v>1684</v>
      </c>
      <c r="AA176" t="s">
        <v>579</v>
      </c>
      <c r="AB176">
        <v>24</v>
      </c>
      <c r="AC176">
        <v>14</v>
      </c>
      <c r="AE176">
        <v>96</v>
      </c>
      <c r="AH176" t="s">
        <v>31</v>
      </c>
    </row>
    <row r="177" spans="1:34" x14ac:dyDescent="0.25">
      <c r="A177">
        <v>176</v>
      </c>
      <c r="B177" s="5">
        <v>901569302</v>
      </c>
      <c r="C177" s="5">
        <v>72557271291</v>
      </c>
      <c r="D177">
        <v>2358</v>
      </c>
      <c r="E177" s="1" t="s">
        <v>1688</v>
      </c>
      <c r="F177" t="s">
        <v>580</v>
      </c>
      <c r="G177" t="s">
        <v>581</v>
      </c>
      <c r="H177">
        <v>29351</v>
      </c>
      <c r="I177">
        <v>37663368</v>
      </c>
      <c r="L177" s="2">
        <v>35921</v>
      </c>
      <c r="M177" s="3">
        <f t="shared" si="2"/>
        <v>1998</v>
      </c>
      <c r="N177" s="2" t="s">
        <v>28</v>
      </c>
      <c r="O177">
        <v>240</v>
      </c>
      <c r="P177" s="6">
        <v>6737</v>
      </c>
      <c r="Q177">
        <v>3368.5</v>
      </c>
      <c r="R177">
        <v>1347.4</v>
      </c>
      <c r="S177">
        <v>198</v>
      </c>
      <c r="T177" s="6">
        <v>806.4</v>
      </c>
      <c r="U177" t="s">
        <v>64</v>
      </c>
      <c r="V177" t="s">
        <v>1682</v>
      </c>
      <c r="W177" t="s">
        <v>1685</v>
      </c>
      <c r="X177" t="s">
        <v>1683</v>
      </c>
      <c r="Y177" t="s">
        <v>1679</v>
      </c>
      <c r="Z177" t="s">
        <v>1684</v>
      </c>
      <c r="AA177" t="s">
        <v>582</v>
      </c>
      <c r="AB177">
        <v>104</v>
      </c>
      <c r="AC177">
        <v>40</v>
      </c>
      <c r="AE177">
        <v>71</v>
      </c>
      <c r="AH177" t="s">
        <v>57</v>
      </c>
    </row>
    <row r="178" spans="1:34" x14ac:dyDescent="0.25">
      <c r="A178">
        <v>177</v>
      </c>
      <c r="B178" s="5">
        <v>587762767</v>
      </c>
      <c r="C178" s="5">
        <v>31865943387</v>
      </c>
      <c r="D178">
        <v>3572</v>
      </c>
      <c r="E178" s="1" t="s">
        <v>1689</v>
      </c>
      <c r="F178" t="s">
        <v>583</v>
      </c>
      <c r="G178" t="s">
        <v>584</v>
      </c>
      <c r="H178">
        <v>28408</v>
      </c>
      <c r="I178">
        <v>29861722</v>
      </c>
      <c r="L178" s="2">
        <v>37037</v>
      </c>
      <c r="M178" s="3">
        <f t="shared" si="2"/>
        <v>2001</v>
      </c>
      <c r="N178" s="2" t="s">
        <v>28</v>
      </c>
      <c r="O178">
        <v>225</v>
      </c>
      <c r="P178" s="6">
        <v>7651</v>
      </c>
      <c r="Q178">
        <v>3825.5</v>
      </c>
      <c r="R178">
        <v>1530.2</v>
      </c>
      <c r="S178">
        <v>198</v>
      </c>
      <c r="T178" s="6">
        <v>756</v>
      </c>
      <c r="U178" t="s">
        <v>150</v>
      </c>
      <c r="V178" t="s">
        <v>1680</v>
      </c>
      <c r="W178" t="s">
        <v>1674</v>
      </c>
      <c r="X178" t="s">
        <v>1675</v>
      </c>
      <c r="Y178" t="s">
        <v>61</v>
      </c>
      <c r="Z178" t="s">
        <v>1684</v>
      </c>
      <c r="AA178" t="s">
        <v>585</v>
      </c>
      <c r="AB178">
        <v>21</v>
      </c>
      <c r="AC178">
        <v>36</v>
      </c>
      <c r="AE178">
        <v>50</v>
      </c>
      <c r="AH178" t="s">
        <v>31</v>
      </c>
    </row>
    <row r="179" spans="1:34" x14ac:dyDescent="0.25">
      <c r="A179">
        <v>178</v>
      </c>
      <c r="B179" s="5">
        <v>849377719</v>
      </c>
      <c r="C179" s="5">
        <v>24034773974</v>
      </c>
      <c r="D179">
        <v>5686</v>
      </c>
      <c r="E179" s="1" t="s">
        <v>1689</v>
      </c>
      <c r="F179" t="s">
        <v>586</v>
      </c>
      <c r="G179" t="s">
        <v>587</v>
      </c>
      <c r="H179">
        <v>26266</v>
      </c>
      <c r="I179">
        <v>20525838</v>
      </c>
      <c r="L179" s="2">
        <v>34046</v>
      </c>
      <c r="M179" s="3">
        <f t="shared" si="2"/>
        <v>1993</v>
      </c>
      <c r="N179" s="2" t="s">
        <v>28</v>
      </c>
      <c r="O179">
        <v>163</v>
      </c>
      <c r="P179" s="6">
        <v>11457</v>
      </c>
      <c r="Q179">
        <v>5728.5</v>
      </c>
      <c r="R179">
        <v>2291.4</v>
      </c>
      <c r="S179">
        <v>220</v>
      </c>
      <c r="T179" s="6">
        <v>547.67999999999995</v>
      </c>
      <c r="U179" t="s">
        <v>446</v>
      </c>
      <c r="V179" t="s">
        <v>1680</v>
      </c>
      <c r="W179" t="s">
        <v>1685</v>
      </c>
      <c r="X179" t="s">
        <v>1675</v>
      </c>
      <c r="Y179" t="s">
        <v>61</v>
      </c>
      <c r="Z179" t="s">
        <v>1676</v>
      </c>
      <c r="AA179" t="s">
        <v>588</v>
      </c>
      <c r="AB179">
        <v>81</v>
      </c>
      <c r="AC179">
        <v>43</v>
      </c>
      <c r="AE179">
        <v>84</v>
      </c>
      <c r="AH179" t="s">
        <v>57</v>
      </c>
    </row>
    <row r="180" spans="1:34" x14ac:dyDescent="0.25">
      <c r="A180">
        <v>179</v>
      </c>
      <c r="B180" s="5">
        <v>441428628</v>
      </c>
      <c r="C180" s="5">
        <v>86034290704</v>
      </c>
      <c r="D180">
        <v>1134</v>
      </c>
      <c r="E180" s="1" t="s">
        <v>1688</v>
      </c>
      <c r="F180" t="s">
        <v>589</v>
      </c>
      <c r="G180" t="s">
        <v>590</v>
      </c>
      <c r="H180">
        <v>27067</v>
      </c>
      <c r="I180">
        <v>36328920</v>
      </c>
      <c r="L180" s="2">
        <v>38645</v>
      </c>
      <c r="M180" s="3">
        <f t="shared" si="2"/>
        <v>2005</v>
      </c>
      <c r="N180" s="2" t="s">
        <v>28</v>
      </c>
      <c r="O180">
        <v>196</v>
      </c>
      <c r="P180" s="6">
        <v>12827</v>
      </c>
      <c r="Q180">
        <v>6413.5</v>
      </c>
      <c r="R180">
        <v>2565.4</v>
      </c>
      <c r="S180">
        <v>242</v>
      </c>
      <c r="T180" s="6">
        <v>658.56</v>
      </c>
      <c r="U180" t="s">
        <v>92</v>
      </c>
      <c r="V180" t="s">
        <v>1686</v>
      </c>
      <c r="W180" t="s">
        <v>1678</v>
      </c>
      <c r="X180" t="s">
        <v>1683</v>
      </c>
      <c r="Y180" t="s">
        <v>1679</v>
      </c>
      <c r="Z180" t="s">
        <v>1684</v>
      </c>
      <c r="AA180" t="s">
        <v>591</v>
      </c>
      <c r="AB180">
        <v>91</v>
      </c>
      <c r="AC180">
        <v>20</v>
      </c>
      <c r="AE180">
        <v>31</v>
      </c>
      <c r="AH180" t="s">
        <v>36</v>
      </c>
    </row>
    <row r="181" spans="1:34" x14ac:dyDescent="0.25">
      <c r="A181">
        <v>180</v>
      </c>
      <c r="B181" s="5">
        <v>413286801</v>
      </c>
      <c r="C181" s="5">
        <v>60950145323</v>
      </c>
      <c r="D181">
        <v>6277</v>
      </c>
      <c r="E181" s="1" t="s">
        <v>1688</v>
      </c>
      <c r="F181" t="s">
        <v>592</v>
      </c>
      <c r="G181" t="s">
        <v>593</v>
      </c>
      <c r="H181">
        <v>29684</v>
      </c>
      <c r="I181">
        <v>20016798</v>
      </c>
      <c r="L181" s="2">
        <v>42782</v>
      </c>
      <c r="M181" s="3">
        <f t="shared" si="2"/>
        <v>2017</v>
      </c>
      <c r="N181" s="2" t="s">
        <v>28</v>
      </c>
      <c r="O181">
        <v>199</v>
      </c>
      <c r="P181" s="6">
        <v>7865</v>
      </c>
      <c r="Q181">
        <v>3932.5</v>
      </c>
      <c r="R181">
        <v>1573</v>
      </c>
      <c r="S181">
        <v>198</v>
      </c>
      <c r="T181" s="6">
        <v>668.64</v>
      </c>
      <c r="U181" t="s">
        <v>34</v>
      </c>
      <c r="V181" t="s">
        <v>1677</v>
      </c>
      <c r="W181" t="s">
        <v>1678</v>
      </c>
      <c r="X181" t="s">
        <v>1675</v>
      </c>
      <c r="Y181" t="s">
        <v>1679</v>
      </c>
      <c r="Z181" t="s">
        <v>1680</v>
      </c>
      <c r="AA181" t="s">
        <v>594</v>
      </c>
      <c r="AB181">
        <v>43</v>
      </c>
      <c r="AC181">
        <v>11</v>
      </c>
      <c r="AE181">
        <v>98</v>
      </c>
      <c r="AH181" t="s">
        <v>36</v>
      </c>
    </row>
    <row r="182" spans="1:34" x14ac:dyDescent="0.25">
      <c r="A182">
        <v>181</v>
      </c>
      <c r="B182" s="5">
        <v>317730626</v>
      </c>
      <c r="C182" s="5">
        <v>48472322733</v>
      </c>
      <c r="D182">
        <v>5003</v>
      </c>
      <c r="E182" s="1" t="s">
        <v>1689</v>
      </c>
      <c r="F182" t="s">
        <v>595</v>
      </c>
      <c r="G182" t="s">
        <v>596</v>
      </c>
      <c r="H182">
        <v>32226</v>
      </c>
      <c r="I182">
        <v>22102216</v>
      </c>
      <c r="L182" s="2">
        <v>41318</v>
      </c>
      <c r="M182" s="3">
        <f t="shared" si="2"/>
        <v>2013</v>
      </c>
      <c r="N182" s="2" t="s">
        <v>28</v>
      </c>
      <c r="O182">
        <v>198</v>
      </c>
      <c r="P182" s="6">
        <v>2277</v>
      </c>
      <c r="Q182">
        <v>1138.5</v>
      </c>
      <c r="R182">
        <v>455.40000000000003</v>
      </c>
      <c r="S182">
        <v>264</v>
      </c>
      <c r="T182" s="6">
        <v>665.28000000000009</v>
      </c>
      <c r="U182" t="s">
        <v>51</v>
      </c>
      <c r="V182" t="s">
        <v>1682</v>
      </c>
      <c r="W182" t="s">
        <v>1674</v>
      </c>
      <c r="X182" t="s">
        <v>1683</v>
      </c>
      <c r="Y182" t="s">
        <v>1679</v>
      </c>
      <c r="Z182" t="s">
        <v>1684</v>
      </c>
      <c r="AA182" t="s">
        <v>597</v>
      </c>
      <c r="AB182">
        <v>143</v>
      </c>
      <c r="AC182">
        <v>30</v>
      </c>
      <c r="AE182">
        <v>167</v>
      </c>
      <c r="AH182" t="s">
        <v>31</v>
      </c>
    </row>
    <row r="183" spans="1:34" x14ac:dyDescent="0.25">
      <c r="A183">
        <v>182</v>
      </c>
      <c r="B183" s="5">
        <v>645860479</v>
      </c>
      <c r="C183" s="5">
        <v>37366286499</v>
      </c>
      <c r="D183">
        <v>5153</v>
      </c>
      <c r="E183" s="1" t="s">
        <v>1688</v>
      </c>
      <c r="F183" t="s">
        <v>598</v>
      </c>
      <c r="G183" t="s">
        <v>599</v>
      </c>
      <c r="H183">
        <v>35875</v>
      </c>
      <c r="I183">
        <v>25367975</v>
      </c>
      <c r="L183" s="2">
        <v>42445</v>
      </c>
      <c r="M183" s="3">
        <f t="shared" si="2"/>
        <v>2016</v>
      </c>
      <c r="N183" s="2" t="s">
        <v>28</v>
      </c>
      <c r="O183">
        <v>199</v>
      </c>
      <c r="P183" s="6">
        <v>6703</v>
      </c>
      <c r="Q183">
        <v>3351.5</v>
      </c>
      <c r="R183">
        <v>1340.6000000000001</v>
      </c>
      <c r="S183">
        <v>220</v>
      </c>
      <c r="T183" s="6">
        <v>668.64</v>
      </c>
      <c r="U183" t="s">
        <v>64</v>
      </c>
      <c r="V183" t="s">
        <v>1682</v>
      </c>
      <c r="W183" t="s">
        <v>1685</v>
      </c>
      <c r="X183" t="s">
        <v>1683</v>
      </c>
      <c r="Y183" t="s">
        <v>1679</v>
      </c>
      <c r="Z183" t="s">
        <v>1684</v>
      </c>
      <c r="AA183" t="s">
        <v>600</v>
      </c>
      <c r="AB183">
        <v>111</v>
      </c>
      <c r="AC183">
        <v>49</v>
      </c>
      <c r="AE183">
        <v>30</v>
      </c>
      <c r="AH183" t="s">
        <v>57</v>
      </c>
    </row>
    <row r="184" spans="1:34" x14ac:dyDescent="0.25">
      <c r="A184">
        <v>183</v>
      </c>
      <c r="B184" s="5">
        <v>477303328</v>
      </c>
      <c r="C184" s="5">
        <v>77945150423</v>
      </c>
      <c r="D184">
        <v>3370</v>
      </c>
      <c r="E184" s="1" t="s">
        <v>1688</v>
      </c>
      <c r="F184" t="s">
        <v>601</v>
      </c>
      <c r="G184" t="s">
        <v>602</v>
      </c>
      <c r="H184">
        <v>34824</v>
      </c>
      <c r="I184">
        <v>20599949</v>
      </c>
      <c r="L184" s="2">
        <v>41394</v>
      </c>
      <c r="M184" s="3">
        <f t="shared" si="2"/>
        <v>2013</v>
      </c>
      <c r="N184" s="2" t="s">
        <v>28</v>
      </c>
      <c r="O184">
        <v>161</v>
      </c>
      <c r="P184" s="6">
        <v>23087</v>
      </c>
      <c r="Q184">
        <v>11543.5</v>
      </c>
      <c r="R184">
        <v>4617.4000000000005</v>
      </c>
      <c r="S184">
        <v>242</v>
      </c>
      <c r="T184" s="6">
        <v>540.96</v>
      </c>
      <c r="U184" t="s">
        <v>51</v>
      </c>
      <c r="V184" t="s">
        <v>1682</v>
      </c>
      <c r="W184" t="s">
        <v>1674</v>
      </c>
      <c r="X184" t="s">
        <v>1683</v>
      </c>
      <c r="Y184" t="s">
        <v>1679</v>
      </c>
      <c r="Z184" t="s">
        <v>1684</v>
      </c>
      <c r="AA184" t="s">
        <v>603</v>
      </c>
      <c r="AB184">
        <v>41</v>
      </c>
      <c r="AC184">
        <v>20</v>
      </c>
      <c r="AE184">
        <v>107</v>
      </c>
      <c r="AH184" t="s">
        <v>31</v>
      </c>
    </row>
    <row r="185" spans="1:34" x14ac:dyDescent="0.25">
      <c r="A185">
        <v>184</v>
      </c>
      <c r="B185" s="5">
        <v>790442694</v>
      </c>
      <c r="C185" s="5">
        <v>60885523304</v>
      </c>
      <c r="D185">
        <v>6816</v>
      </c>
      <c r="E185" s="1" t="s">
        <v>1689</v>
      </c>
      <c r="F185" t="s">
        <v>604</v>
      </c>
      <c r="G185" t="s">
        <v>605</v>
      </c>
      <c r="H185">
        <v>26319</v>
      </c>
      <c r="I185">
        <v>47969729</v>
      </c>
      <c r="L185" s="2">
        <v>33041</v>
      </c>
      <c r="M185" s="3">
        <f t="shared" si="2"/>
        <v>1990</v>
      </c>
      <c r="N185" s="2" t="s">
        <v>28</v>
      </c>
      <c r="O185">
        <v>214</v>
      </c>
      <c r="P185" s="6">
        <v>9906</v>
      </c>
      <c r="Q185">
        <v>4953</v>
      </c>
      <c r="R185">
        <v>1981.2</v>
      </c>
      <c r="S185">
        <v>176</v>
      </c>
      <c r="T185" s="6">
        <v>719.04</v>
      </c>
      <c r="U185" t="s">
        <v>157</v>
      </c>
      <c r="V185" t="s">
        <v>1682</v>
      </c>
      <c r="W185" t="s">
        <v>1687</v>
      </c>
      <c r="X185" t="s">
        <v>1683</v>
      </c>
      <c r="Y185" t="s">
        <v>1679</v>
      </c>
      <c r="Z185" t="s">
        <v>1684</v>
      </c>
      <c r="AA185" t="s">
        <v>606</v>
      </c>
      <c r="AB185">
        <v>20</v>
      </c>
      <c r="AC185">
        <v>49</v>
      </c>
      <c r="AE185">
        <v>161</v>
      </c>
      <c r="AH185" t="s">
        <v>98</v>
      </c>
    </row>
    <row r="186" spans="1:34" x14ac:dyDescent="0.25">
      <c r="A186">
        <v>185</v>
      </c>
      <c r="B186" s="5">
        <v>267462900</v>
      </c>
      <c r="C186" s="5">
        <v>90099351276</v>
      </c>
      <c r="D186">
        <v>5681</v>
      </c>
      <c r="E186" s="1" t="s">
        <v>1688</v>
      </c>
      <c r="F186" t="s">
        <v>607</v>
      </c>
      <c r="G186" t="s">
        <v>608</v>
      </c>
      <c r="H186">
        <v>29397</v>
      </c>
      <c r="I186">
        <v>41615356</v>
      </c>
      <c r="L186" s="2">
        <v>41510</v>
      </c>
      <c r="M186" s="3">
        <f t="shared" si="2"/>
        <v>2013</v>
      </c>
      <c r="N186" s="2" t="s">
        <v>28</v>
      </c>
      <c r="O186">
        <v>198</v>
      </c>
      <c r="P186" s="6">
        <v>10394</v>
      </c>
      <c r="Q186">
        <v>5197</v>
      </c>
      <c r="R186">
        <v>2078.8000000000002</v>
      </c>
      <c r="S186">
        <v>286</v>
      </c>
      <c r="T186" s="6">
        <v>665.28000000000009</v>
      </c>
      <c r="U186" t="s">
        <v>39</v>
      </c>
      <c r="V186" t="s">
        <v>1677</v>
      </c>
      <c r="W186" t="s">
        <v>1681</v>
      </c>
      <c r="X186" t="s">
        <v>1675</v>
      </c>
      <c r="Y186" t="s">
        <v>1679</v>
      </c>
      <c r="Z186" t="s">
        <v>1680</v>
      </c>
      <c r="AA186" t="s">
        <v>609</v>
      </c>
      <c r="AB186">
        <v>49</v>
      </c>
      <c r="AC186">
        <v>41</v>
      </c>
      <c r="AE186">
        <v>187</v>
      </c>
      <c r="AH186" t="s">
        <v>41</v>
      </c>
    </row>
    <row r="187" spans="1:34" x14ac:dyDescent="0.25">
      <c r="A187">
        <v>186</v>
      </c>
      <c r="B187" s="5">
        <v>758845282</v>
      </c>
      <c r="C187" s="5">
        <v>26630144333</v>
      </c>
      <c r="D187">
        <v>2997</v>
      </c>
      <c r="E187" s="1" t="s">
        <v>1689</v>
      </c>
      <c r="F187" t="s">
        <v>610</v>
      </c>
      <c r="G187" t="s">
        <v>611</v>
      </c>
      <c r="H187">
        <v>34480</v>
      </c>
      <c r="I187">
        <v>23929005</v>
      </c>
      <c r="L187" s="2">
        <v>42762</v>
      </c>
      <c r="M187" s="3">
        <f t="shared" si="2"/>
        <v>2017</v>
      </c>
      <c r="N187" s="2" t="s">
        <v>28</v>
      </c>
      <c r="O187">
        <v>223</v>
      </c>
      <c r="P187" s="6">
        <v>15573</v>
      </c>
      <c r="Q187">
        <v>7786.5</v>
      </c>
      <c r="R187">
        <v>3114.6000000000004</v>
      </c>
      <c r="S187">
        <v>220</v>
      </c>
      <c r="T187" s="6">
        <v>749.28000000000009</v>
      </c>
      <c r="U187" t="s">
        <v>44</v>
      </c>
      <c r="V187" t="s">
        <v>1682</v>
      </c>
      <c r="W187" t="s">
        <v>1681</v>
      </c>
      <c r="X187" t="s">
        <v>1683</v>
      </c>
      <c r="Y187" t="s">
        <v>1679</v>
      </c>
      <c r="Z187" t="s">
        <v>1684</v>
      </c>
      <c r="AA187" t="s">
        <v>612</v>
      </c>
      <c r="AB187">
        <v>80</v>
      </c>
      <c r="AC187">
        <v>23</v>
      </c>
      <c r="AE187">
        <v>189</v>
      </c>
      <c r="AH187" t="s">
        <v>41</v>
      </c>
    </row>
    <row r="188" spans="1:34" x14ac:dyDescent="0.25">
      <c r="A188">
        <v>187</v>
      </c>
      <c r="B188" s="5">
        <v>213851979</v>
      </c>
      <c r="C188" s="5">
        <v>43986133891</v>
      </c>
      <c r="D188">
        <v>7878</v>
      </c>
      <c r="E188" s="1" t="s">
        <v>1688</v>
      </c>
      <c r="F188" t="s">
        <v>613</v>
      </c>
      <c r="G188" t="s">
        <v>614</v>
      </c>
      <c r="H188">
        <v>28122</v>
      </c>
      <c r="I188">
        <v>28490837</v>
      </c>
      <c r="L188" s="2">
        <v>37529</v>
      </c>
      <c r="M188" s="3">
        <f t="shared" si="2"/>
        <v>2002</v>
      </c>
      <c r="N188" s="2" t="s">
        <v>28</v>
      </c>
      <c r="O188">
        <v>209</v>
      </c>
      <c r="P188" s="6">
        <v>14536</v>
      </c>
      <c r="Q188">
        <v>7268</v>
      </c>
      <c r="R188">
        <v>2907.2000000000003</v>
      </c>
      <c r="S188">
        <v>176</v>
      </c>
      <c r="T188" s="6">
        <v>702.24</v>
      </c>
      <c r="U188" t="s">
        <v>39</v>
      </c>
      <c r="V188" t="s">
        <v>1677</v>
      </c>
      <c r="W188" t="s">
        <v>1681</v>
      </c>
      <c r="X188" t="s">
        <v>1675</v>
      </c>
      <c r="Y188" t="s">
        <v>1679</v>
      </c>
      <c r="Z188" t="s">
        <v>1680</v>
      </c>
      <c r="AA188" t="s">
        <v>615</v>
      </c>
      <c r="AB188">
        <v>84</v>
      </c>
      <c r="AC188">
        <v>30</v>
      </c>
      <c r="AE188">
        <v>105</v>
      </c>
      <c r="AH188" t="s">
        <v>41</v>
      </c>
    </row>
    <row r="189" spans="1:34" x14ac:dyDescent="0.25">
      <c r="A189">
        <v>188</v>
      </c>
      <c r="B189" s="5">
        <v>299487558</v>
      </c>
      <c r="C189" s="5">
        <v>20853690606</v>
      </c>
      <c r="D189">
        <v>5113</v>
      </c>
      <c r="E189" s="1" t="s">
        <v>1689</v>
      </c>
      <c r="F189" t="s">
        <v>616</v>
      </c>
      <c r="G189" t="s">
        <v>617</v>
      </c>
      <c r="H189">
        <v>28780</v>
      </c>
      <c r="I189">
        <v>40319896</v>
      </c>
      <c r="L189" s="2">
        <v>37558</v>
      </c>
      <c r="M189" s="3">
        <f t="shared" si="2"/>
        <v>2002</v>
      </c>
      <c r="N189" s="2" t="s">
        <v>28</v>
      </c>
      <c r="O189">
        <v>223</v>
      </c>
      <c r="P189" s="6">
        <v>1367</v>
      </c>
      <c r="Q189">
        <v>683.5</v>
      </c>
      <c r="R189">
        <v>273.40000000000003</v>
      </c>
      <c r="S189">
        <v>198</v>
      </c>
      <c r="T189" s="6">
        <v>749.28000000000009</v>
      </c>
      <c r="U189" t="s">
        <v>127</v>
      </c>
      <c r="V189" t="s">
        <v>1686</v>
      </c>
      <c r="W189" t="s">
        <v>1685</v>
      </c>
      <c r="X189" t="s">
        <v>1683</v>
      </c>
      <c r="Y189" t="s">
        <v>1679</v>
      </c>
      <c r="Z189" t="s">
        <v>1684</v>
      </c>
      <c r="AA189" t="s">
        <v>618</v>
      </c>
      <c r="AB189">
        <v>62</v>
      </c>
      <c r="AC189">
        <v>34</v>
      </c>
      <c r="AE189">
        <v>66</v>
      </c>
      <c r="AH189" t="s">
        <v>57</v>
      </c>
    </row>
    <row r="190" spans="1:34" x14ac:dyDescent="0.25">
      <c r="A190">
        <v>189</v>
      </c>
      <c r="B190" s="5">
        <v>665722840</v>
      </c>
      <c r="C190" s="5">
        <v>43694038517</v>
      </c>
      <c r="D190">
        <v>6329</v>
      </c>
      <c r="E190" s="1" t="s">
        <v>1689</v>
      </c>
      <c r="F190" t="s">
        <v>619</v>
      </c>
      <c r="G190" t="s">
        <v>620</v>
      </c>
      <c r="H190">
        <v>30642</v>
      </c>
      <c r="I190">
        <v>40999434</v>
      </c>
      <c r="L190" s="2">
        <v>42803</v>
      </c>
      <c r="M190" s="3">
        <f t="shared" si="2"/>
        <v>2017</v>
      </c>
      <c r="N190" s="2" t="s">
        <v>28</v>
      </c>
      <c r="O190">
        <v>235</v>
      </c>
      <c r="P190" s="6">
        <v>21776</v>
      </c>
      <c r="Q190">
        <v>10888</v>
      </c>
      <c r="R190">
        <v>4355.2</v>
      </c>
      <c r="S190">
        <v>308</v>
      </c>
      <c r="T190" s="6">
        <v>789.6</v>
      </c>
      <c r="U190" t="s">
        <v>164</v>
      </c>
      <c r="V190" t="s">
        <v>1677</v>
      </c>
      <c r="W190" t="s">
        <v>1674</v>
      </c>
      <c r="X190" t="s">
        <v>1675</v>
      </c>
      <c r="Y190" t="s">
        <v>1679</v>
      </c>
      <c r="Z190" t="s">
        <v>1680</v>
      </c>
      <c r="AA190" t="s">
        <v>621</v>
      </c>
      <c r="AB190">
        <v>77</v>
      </c>
      <c r="AC190">
        <v>2</v>
      </c>
      <c r="AE190">
        <v>172</v>
      </c>
      <c r="AH190" t="s">
        <v>31</v>
      </c>
    </row>
    <row r="191" spans="1:34" x14ac:dyDescent="0.25">
      <c r="A191">
        <v>190</v>
      </c>
      <c r="B191" s="5">
        <v>252066743</v>
      </c>
      <c r="C191" s="5">
        <v>79052048907</v>
      </c>
      <c r="D191">
        <v>7057</v>
      </c>
      <c r="E191" s="1" t="s">
        <v>1688</v>
      </c>
      <c r="F191" t="s">
        <v>622</v>
      </c>
      <c r="G191" t="s">
        <v>623</v>
      </c>
      <c r="H191">
        <v>34033</v>
      </c>
      <c r="I191">
        <v>39159345</v>
      </c>
      <c r="L191" s="2">
        <v>41418</v>
      </c>
      <c r="M191" s="3">
        <f t="shared" si="2"/>
        <v>2013</v>
      </c>
      <c r="N191" s="2" t="s">
        <v>28</v>
      </c>
      <c r="O191">
        <v>210</v>
      </c>
      <c r="P191" s="6">
        <v>10870</v>
      </c>
      <c r="Q191">
        <v>5435</v>
      </c>
      <c r="R191">
        <v>2174</v>
      </c>
      <c r="S191">
        <v>198</v>
      </c>
      <c r="T191" s="6">
        <v>705.6</v>
      </c>
      <c r="U191" t="s">
        <v>34</v>
      </c>
      <c r="V191" t="s">
        <v>1677</v>
      </c>
      <c r="W191" t="s">
        <v>1678</v>
      </c>
      <c r="X191" t="s">
        <v>1675</v>
      </c>
      <c r="Y191" t="s">
        <v>1679</v>
      </c>
      <c r="Z191" t="s">
        <v>1680</v>
      </c>
      <c r="AA191" t="s">
        <v>624</v>
      </c>
      <c r="AB191">
        <v>48</v>
      </c>
      <c r="AC191">
        <v>16</v>
      </c>
      <c r="AE191">
        <v>145</v>
      </c>
      <c r="AH191" t="s">
        <v>36</v>
      </c>
    </row>
    <row r="192" spans="1:34" x14ac:dyDescent="0.25">
      <c r="A192">
        <v>191</v>
      </c>
      <c r="B192" s="5">
        <v>131440575</v>
      </c>
      <c r="C192" s="5">
        <v>56747684111</v>
      </c>
      <c r="D192">
        <v>5878</v>
      </c>
      <c r="E192" s="1" t="s">
        <v>1689</v>
      </c>
      <c r="F192" t="s">
        <v>625</v>
      </c>
      <c r="G192" t="s">
        <v>626</v>
      </c>
      <c r="H192">
        <v>35365</v>
      </c>
      <c r="I192">
        <v>39717755</v>
      </c>
      <c r="L192" s="2">
        <v>42479</v>
      </c>
      <c r="M192" s="3">
        <f t="shared" si="2"/>
        <v>2016</v>
      </c>
      <c r="N192" s="2" t="s">
        <v>28</v>
      </c>
      <c r="O192">
        <v>190</v>
      </c>
      <c r="P192" s="6">
        <v>14459</v>
      </c>
      <c r="Q192">
        <v>7229.5</v>
      </c>
      <c r="R192">
        <v>2891.8</v>
      </c>
      <c r="S192">
        <v>242</v>
      </c>
      <c r="T192" s="6">
        <v>638.4</v>
      </c>
      <c r="U192" t="s">
        <v>140</v>
      </c>
      <c r="V192" t="s">
        <v>1682</v>
      </c>
      <c r="W192" t="s">
        <v>1678</v>
      </c>
      <c r="X192" t="s">
        <v>1683</v>
      </c>
      <c r="Y192" t="s">
        <v>1679</v>
      </c>
      <c r="Z192" t="s">
        <v>1684</v>
      </c>
      <c r="AA192" t="s">
        <v>627</v>
      </c>
      <c r="AB192">
        <v>101</v>
      </c>
      <c r="AC192">
        <v>33</v>
      </c>
      <c r="AE192">
        <v>141</v>
      </c>
      <c r="AH192" t="s">
        <v>36</v>
      </c>
    </row>
    <row r="193" spans="1:34" x14ac:dyDescent="0.25">
      <c r="A193">
        <v>192</v>
      </c>
      <c r="B193" s="5">
        <v>338808621</v>
      </c>
      <c r="C193" s="5">
        <v>62617279297</v>
      </c>
      <c r="D193">
        <v>4294</v>
      </c>
      <c r="E193" s="1" t="s">
        <v>1689</v>
      </c>
      <c r="F193" t="s">
        <v>628</v>
      </c>
      <c r="G193" t="s">
        <v>629</v>
      </c>
      <c r="H193">
        <v>34258</v>
      </c>
      <c r="I193">
        <v>45598482</v>
      </c>
      <c r="L193" s="2">
        <v>40828</v>
      </c>
      <c r="M193" s="3">
        <f t="shared" si="2"/>
        <v>2011</v>
      </c>
      <c r="N193" s="2" t="s">
        <v>28</v>
      </c>
      <c r="O193">
        <v>151</v>
      </c>
      <c r="P193" s="6">
        <v>10967</v>
      </c>
      <c r="Q193">
        <v>5483.5</v>
      </c>
      <c r="R193">
        <v>2193.4</v>
      </c>
      <c r="S193">
        <v>308</v>
      </c>
      <c r="T193" s="6">
        <v>507.36</v>
      </c>
      <c r="U193" t="s">
        <v>110</v>
      </c>
      <c r="V193" t="s">
        <v>1680</v>
      </c>
      <c r="W193" t="s">
        <v>1687</v>
      </c>
      <c r="X193" t="s">
        <v>1675</v>
      </c>
      <c r="Y193" t="s">
        <v>61</v>
      </c>
      <c r="Z193" t="s">
        <v>1676</v>
      </c>
      <c r="AA193" t="s">
        <v>630</v>
      </c>
      <c r="AB193">
        <v>129</v>
      </c>
      <c r="AC193">
        <v>19</v>
      </c>
      <c r="AE193">
        <v>177</v>
      </c>
      <c r="AH193" t="s">
        <v>98</v>
      </c>
    </row>
    <row r="194" spans="1:34" x14ac:dyDescent="0.25">
      <c r="A194">
        <v>193</v>
      </c>
      <c r="B194" s="5">
        <v>797241360</v>
      </c>
      <c r="C194" s="5">
        <v>91935488890</v>
      </c>
      <c r="D194">
        <v>5634</v>
      </c>
      <c r="E194" s="1" t="s">
        <v>1688</v>
      </c>
      <c r="F194" t="s">
        <v>631</v>
      </c>
      <c r="G194" t="s">
        <v>632</v>
      </c>
      <c r="H194">
        <v>33641</v>
      </c>
      <c r="I194">
        <v>43419653</v>
      </c>
      <c r="L194" s="2">
        <v>42355</v>
      </c>
      <c r="M194" s="3">
        <f t="shared" si="2"/>
        <v>2015</v>
      </c>
      <c r="N194" s="2" t="s">
        <v>28</v>
      </c>
      <c r="O194">
        <v>217</v>
      </c>
      <c r="P194" s="6">
        <v>11882</v>
      </c>
      <c r="Q194">
        <v>5941</v>
      </c>
      <c r="R194">
        <v>2376.4</v>
      </c>
      <c r="S194">
        <v>220</v>
      </c>
      <c r="T194" s="6">
        <v>729.12</v>
      </c>
      <c r="U194" t="s">
        <v>164</v>
      </c>
      <c r="V194" t="s">
        <v>1677</v>
      </c>
      <c r="W194" t="s">
        <v>1674</v>
      </c>
      <c r="X194" t="s">
        <v>1675</v>
      </c>
      <c r="Y194" t="s">
        <v>1679</v>
      </c>
      <c r="Z194" t="s">
        <v>1680</v>
      </c>
      <c r="AA194" t="s">
        <v>633</v>
      </c>
      <c r="AB194">
        <v>145</v>
      </c>
      <c r="AC194">
        <v>22</v>
      </c>
      <c r="AE194">
        <v>190</v>
      </c>
      <c r="AH194" t="s">
        <v>31</v>
      </c>
    </row>
    <row r="195" spans="1:34" x14ac:dyDescent="0.25">
      <c r="A195">
        <v>194</v>
      </c>
      <c r="B195" s="5">
        <v>381704808</v>
      </c>
      <c r="C195" s="5">
        <v>55324526587</v>
      </c>
      <c r="D195">
        <v>4854</v>
      </c>
      <c r="E195" s="1" t="s">
        <v>1688</v>
      </c>
      <c r="F195" t="s">
        <v>634</v>
      </c>
      <c r="G195" t="s">
        <v>635</v>
      </c>
      <c r="H195">
        <v>30327</v>
      </c>
      <c r="I195">
        <v>32019941</v>
      </c>
      <c r="L195" s="2">
        <v>38691</v>
      </c>
      <c r="M195" s="3">
        <f t="shared" ref="M195:M258" si="3">YEAR(L195)</f>
        <v>2005</v>
      </c>
      <c r="N195" s="2" t="s">
        <v>28</v>
      </c>
      <c r="O195">
        <v>213</v>
      </c>
      <c r="P195" s="6">
        <v>17093</v>
      </c>
      <c r="Q195">
        <v>8546.5</v>
      </c>
      <c r="R195">
        <v>3418.6000000000004</v>
      </c>
      <c r="S195">
        <v>308</v>
      </c>
      <c r="T195" s="6">
        <v>715.68</v>
      </c>
      <c r="U195" t="s">
        <v>120</v>
      </c>
      <c r="V195" t="s">
        <v>1673</v>
      </c>
      <c r="W195" t="s">
        <v>1681</v>
      </c>
      <c r="X195" t="s">
        <v>1675</v>
      </c>
      <c r="Y195" t="s">
        <v>61</v>
      </c>
      <c r="Z195" t="s">
        <v>1676</v>
      </c>
      <c r="AA195" t="s">
        <v>636</v>
      </c>
      <c r="AB195">
        <v>122</v>
      </c>
      <c r="AC195">
        <v>44</v>
      </c>
      <c r="AE195">
        <v>175</v>
      </c>
      <c r="AH195" t="s">
        <v>41</v>
      </c>
    </row>
    <row r="196" spans="1:34" x14ac:dyDescent="0.25">
      <c r="A196">
        <v>195</v>
      </c>
      <c r="B196" s="5">
        <v>754379853</v>
      </c>
      <c r="C196" s="5">
        <v>81986804945</v>
      </c>
      <c r="D196">
        <v>4980</v>
      </c>
      <c r="E196" s="1" t="s">
        <v>1689</v>
      </c>
      <c r="F196" t="s">
        <v>637</v>
      </c>
      <c r="G196" t="s">
        <v>638</v>
      </c>
      <c r="H196">
        <v>35547</v>
      </c>
      <c r="I196">
        <v>24023429</v>
      </c>
      <c r="L196" s="2">
        <v>42117</v>
      </c>
      <c r="M196" s="3">
        <f t="shared" si="3"/>
        <v>2015</v>
      </c>
      <c r="N196" s="2" t="s">
        <v>28</v>
      </c>
      <c r="O196">
        <v>185</v>
      </c>
      <c r="P196" s="6">
        <v>5835</v>
      </c>
      <c r="Q196">
        <v>2917.5</v>
      </c>
      <c r="R196">
        <v>1167</v>
      </c>
      <c r="S196">
        <v>220</v>
      </c>
      <c r="T196" s="6">
        <v>621.6</v>
      </c>
      <c r="U196" t="s">
        <v>68</v>
      </c>
      <c r="V196" t="s">
        <v>1686</v>
      </c>
      <c r="W196" t="s">
        <v>1681</v>
      </c>
      <c r="X196" t="s">
        <v>1683</v>
      </c>
      <c r="Y196" t="s">
        <v>1679</v>
      </c>
      <c r="Z196" t="s">
        <v>1684</v>
      </c>
      <c r="AA196" t="s">
        <v>639</v>
      </c>
      <c r="AB196">
        <v>47</v>
      </c>
      <c r="AC196">
        <v>47</v>
      </c>
      <c r="AE196">
        <v>123</v>
      </c>
      <c r="AH196" t="s">
        <v>41</v>
      </c>
    </row>
    <row r="197" spans="1:34" x14ac:dyDescent="0.25">
      <c r="A197">
        <v>196</v>
      </c>
      <c r="B197" s="5">
        <v>633098659</v>
      </c>
      <c r="C197" s="5">
        <v>35453530138</v>
      </c>
      <c r="D197">
        <v>1806</v>
      </c>
      <c r="E197" s="1" t="s">
        <v>1688</v>
      </c>
      <c r="F197" t="s">
        <v>640</v>
      </c>
      <c r="G197" t="s">
        <v>641</v>
      </c>
      <c r="H197">
        <v>29355</v>
      </c>
      <c r="I197">
        <v>21047459</v>
      </c>
      <c r="L197" s="2">
        <v>43062</v>
      </c>
      <c r="M197" s="3">
        <f t="shared" si="3"/>
        <v>2017</v>
      </c>
      <c r="N197" s="2" t="s">
        <v>28</v>
      </c>
      <c r="O197">
        <v>240</v>
      </c>
      <c r="P197" s="6">
        <v>14652</v>
      </c>
      <c r="Q197">
        <v>7326</v>
      </c>
      <c r="R197">
        <v>2930.4</v>
      </c>
      <c r="S197">
        <v>242</v>
      </c>
      <c r="T197" s="6">
        <v>806.4</v>
      </c>
      <c r="U197" t="s">
        <v>140</v>
      </c>
      <c r="V197" t="s">
        <v>1682</v>
      </c>
      <c r="W197" t="s">
        <v>1678</v>
      </c>
      <c r="X197" t="s">
        <v>1683</v>
      </c>
      <c r="Y197" t="s">
        <v>1679</v>
      </c>
      <c r="Z197" t="s">
        <v>1684</v>
      </c>
      <c r="AA197" t="s">
        <v>642</v>
      </c>
      <c r="AB197">
        <v>139</v>
      </c>
      <c r="AC197">
        <v>55</v>
      </c>
      <c r="AE197">
        <v>112</v>
      </c>
      <c r="AH197" t="s">
        <v>36</v>
      </c>
    </row>
    <row r="198" spans="1:34" x14ac:dyDescent="0.25">
      <c r="A198">
        <v>197</v>
      </c>
      <c r="B198" s="5">
        <v>653306592</v>
      </c>
      <c r="C198" s="5">
        <v>58146289103</v>
      </c>
      <c r="D198">
        <v>3910</v>
      </c>
      <c r="E198" s="1" t="s">
        <v>1688</v>
      </c>
      <c r="F198" t="s">
        <v>643</v>
      </c>
      <c r="G198" t="s">
        <v>644</v>
      </c>
      <c r="H198">
        <v>28038</v>
      </c>
      <c r="I198">
        <v>20887138</v>
      </c>
      <c r="L198" s="2">
        <v>38114</v>
      </c>
      <c r="M198" s="3">
        <f t="shared" si="3"/>
        <v>2004</v>
      </c>
      <c r="N198" s="2" t="s">
        <v>28</v>
      </c>
      <c r="O198">
        <v>161</v>
      </c>
      <c r="P198" s="6">
        <v>8229</v>
      </c>
      <c r="Q198">
        <v>4114.5</v>
      </c>
      <c r="R198">
        <v>1645.8000000000002</v>
      </c>
      <c r="S198">
        <v>264</v>
      </c>
      <c r="T198" s="6">
        <v>540.96</v>
      </c>
      <c r="U198" t="s">
        <v>64</v>
      </c>
      <c r="V198" t="s">
        <v>1682</v>
      </c>
      <c r="W198" t="s">
        <v>1685</v>
      </c>
      <c r="X198" t="s">
        <v>1683</v>
      </c>
      <c r="Y198" t="s">
        <v>1679</v>
      </c>
      <c r="Z198" t="s">
        <v>1684</v>
      </c>
      <c r="AA198" t="s">
        <v>645</v>
      </c>
      <c r="AB198">
        <v>93</v>
      </c>
      <c r="AC198">
        <v>1</v>
      </c>
      <c r="AE198">
        <v>80</v>
      </c>
      <c r="AH198" t="s">
        <v>57</v>
      </c>
    </row>
    <row r="199" spans="1:34" x14ac:dyDescent="0.25">
      <c r="A199">
        <v>198</v>
      </c>
      <c r="B199" s="5">
        <v>911451272</v>
      </c>
      <c r="C199" s="5">
        <v>22397479652</v>
      </c>
      <c r="D199">
        <v>1914</v>
      </c>
      <c r="E199" s="1" t="s">
        <v>1689</v>
      </c>
      <c r="F199" t="s">
        <v>646</v>
      </c>
      <c r="G199" t="s">
        <v>647</v>
      </c>
      <c r="H199">
        <v>28837</v>
      </c>
      <c r="I199">
        <v>33679561</v>
      </c>
      <c r="L199" s="2">
        <v>40299</v>
      </c>
      <c r="M199" s="3">
        <f t="shared" si="3"/>
        <v>2010</v>
      </c>
      <c r="N199" s="2" t="s">
        <v>28</v>
      </c>
      <c r="O199">
        <v>187</v>
      </c>
      <c r="P199" s="6">
        <v>17804</v>
      </c>
      <c r="Q199">
        <v>8902</v>
      </c>
      <c r="R199">
        <v>3560.8</v>
      </c>
      <c r="S199">
        <v>154</v>
      </c>
      <c r="T199" s="6">
        <v>628.32000000000005</v>
      </c>
      <c r="U199" t="s">
        <v>55</v>
      </c>
      <c r="V199" t="s">
        <v>1673</v>
      </c>
      <c r="W199" t="s">
        <v>1685</v>
      </c>
      <c r="X199" t="s">
        <v>1675</v>
      </c>
      <c r="Y199" t="s">
        <v>61</v>
      </c>
      <c r="Z199" t="s">
        <v>1676</v>
      </c>
      <c r="AA199" t="s">
        <v>648</v>
      </c>
      <c r="AB199">
        <v>52</v>
      </c>
      <c r="AC199">
        <v>4</v>
      </c>
      <c r="AE199">
        <v>64</v>
      </c>
      <c r="AH199" t="s">
        <v>57</v>
      </c>
    </row>
    <row r="200" spans="1:34" x14ac:dyDescent="0.25">
      <c r="A200">
        <v>199</v>
      </c>
      <c r="B200" s="5">
        <v>758327088</v>
      </c>
      <c r="C200" s="5">
        <v>76756802371</v>
      </c>
      <c r="D200">
        <v>7619</v>
      </c>
      <c r="E200" s="1" t="s">
        <v>1689</v>
      </c>
      <c r="F200" t="s">
        <v>649</v>
      </c>
      <c r="G200" t="s">
        <v>650</v>
      </c>
      <c r="H200">
        <v>30038</v>
      </c>
      <c r="I200">
        <v>24242974</v>
      </c>
      <c r="L200" s="2">
        <v>38506</v>
      </c>
      <c r="M200" s="3">
        <f t="shared" si="3"/>
        <v>2005</v>
      </c>
      <c r="N200" s="2" t="s">
        <v>28</v>
      </c>
      <c r="O200">
        <v>241</v>
      </c>
      <c r="P200" s="6">
        <v>12730</v>
      </c>
      <c r="Q200">
        <v>6365</v>
      </c>
      <c r="R200">
        <v>2546</v>
      </c>
      <c r="S200">
        <v>242</v>
      </c>
      <c r="T200" s="6">
        <v>809.76</v>
      </c>
      <c r="U200" t="s">
        <v>39</v>
      </c>
      <c r="V200" t="s">
        <v>1677</v>
      </c>
      <c r="W200" t="s">
        <v>1681</v>
      </c>
      <c r="X200" t="s">
        <v>1675</v>
      </c>
      <c r="Y200" t="s">
        <v>1679</v>
      </c>
      <c r="Z200" t="s">
        <v>1680</v>
      </c>
      <c r="AA200" t="s">
        <v>651</v>
      </c>
      <c r="AB200">
        <v>59</v>
      </c>
      <c r="AC200">
        <v>12</v>
      </c>
      <c r="AE200">
        <v>54</v>
      </c>
      <c r="AH200" t="s">
        <v>41</v>
      </c>
    </row>
    <row r="201" spans="1:34" x14ac:dyDescent="0.25">
      <c r="A201">
        <v>200</v>
      </c>
      <c r="B201" s="5">
        <v>732582295</v>
      </c>
      <c r="C201" s="5">
        <v>29345602726</v>
      </c>
      <c r="D201">
        <v>6305</v>
      </c>
      <c r="E201" s="1" t="s">
        <v>1689</v>
      </c>
      <c r="F201" t="s">
        <v>652</v>
      </c>
      <c r="G201" t="s">
        <v>653</v>
      </c>
      <c r="H201">
        <v>28769</v>
      </c>
      <c r="I201">
        <v>20277009</v>
      </c>
      <c r="L201" s="2">
        <v>41443</v>
      </c>
      <c r="M201" s="3">
        <f t="shared" si="3"/>
        <v>2013</v>
      </c>
      <c r="N201" s="2" t="s">
        <v>28</v>
      </c>
      <c r="O201">
        <v>241</v>
      </c>
      <c r="P201" s="6">
        <v>24949</v>
      </c>
      <c r="Q201">
        <v>12474.5</v>
      </c>
      <c r="R201">
        <v>4989.8</v>
      </c>
      <c r="S201">
        <v>308</v>
      </c>
      <c r="T201" s="6">
        <v>809.76</v>
      </c>
      <c r="U201" t="s">
        <v>157</v>
      </c>
      <c r="V201" t="s">
        <v>1682</v>
      </c>
      <c r="W201" t="s">
        <v>1687</v>
      </c>
      <c r="X201" t="s">
        <v>1683</v>
      </c>
      <c r="Y201" t="s">
        <v>1679</v>
      </c>
      <c r="Z201" t="s">
        <v>1684</v>
      </c>
      <c r="AA201" t="s">
        <v>654</v>
      </c>
      <c r="AB201">
        <v>113</v>
      </c>
      <c r="AC201">
        <v>13</v>
      </c>
      <c r="AE201">
        <v>134</v>
      </c>
      <c r="AH201" t="s">
        <v>98</v>
      </c>
    </row>
    <row r="202" spans="1:34" x14ac:dyDescent="0.25">
      <c r="A202">
        <v>201</v>
      </c>
      <c r="B202" s="5">
        <v>520865497</v>
      </c>
      <c r="C202" s="5">
        <v>95494545903</v>
      </c>
      <c r="D202">
        <v>4460</v>
      </c>
      <c r="E202" s="1" t="s">
        <v>1689</v>
      </c>
      <c r="F202" t="s">
        <v>655</v>
      </c>
      <c r="G202" t="s">
        <v>656</v>
      </c>
      <c r="H202">
        <v>27564</v>
      </c>
      <c r="I202">
        <v>34188443</v>
      </c>
      <c r="L202" s="2">
        <v>36697</v>
      </c>
      <c r="M202" s="3">
        <f t="shared" si="3"/>
        <v>2000</v>
      </c>
      <c r="N202" s="2" t="s">
        <v>28</v>
      </c>
      <c r="O202">
        <v>161</v>
      </c>
      <c r="P202" s="6">
        <v>6854</v>
      </c>
      <c r="Q202">
        <v>3427</v>
      </c>
      <c r="R202">
        <v>1370.8000000000002</v>
      </c>
      <c r="S202">
        <v>286</v>
      </c>
      <c r="T202" s="6">
        <v>540.96</v>
      </c>
      <c r="U202" t="s">
        <v>44</v>
      </c>
      <c r="V202" t="s">
        <v>1682</v>
      </c>
      <c r="W202" t="s">
        <v>1681</v>
      </c>
      <c r="X202" t="s">
        <v>1683</v>
      </c>
      <c r="Y202" t="s">
        <v>1679</v>
      </c>
      <c r="Z202" t="s">
        <v>1684</v>
      </c>
      <c r="AA202" t="s">
        <v>657</v>
      </c>
      <c r="AB202">
        <v>131</v>
      </c>
      <c r="AC202">
        <v>33</v>
      </c>
      <c r="AE202">
        <v>101</v>
      </c>
      <c r="AH202" t="s">
        <v>41</v>
      </c>
    </row>
    <row r="203" spans="1:34" x14ac:dyDescent="0.25">
      <c r="A203">
        <v>202</v>
      </c>
      <c r="B203" s="5">
        <v>795257464</v>
      </c>
      <c r="C203" s="5">
        <v>23397325993</v>
      </c>
      <c r="D203">
        <v>1854</v>
      </c>
      <c r="E203" s="1" t="s">
        <v>1688</v>
      </c>
      <c r="F203" t="s">
        <v>658</v>
      </c>
      <c r="G203" t="s">
        <v>659</v>
      </c>
      <c r="H203">
        <v>34677</v>
      </c>
      <c r="I203">
        <v>49991492</v>
      </c>
      <c r="L203" s="2">
        <v>41247</v>
      </c>
      <c r="M203" s="3">
        <f t="shared" si="3"/>
        <v>2012</v>
      </c>
      <c r="N203" s="2" t="s">
        <v>28</v>
      </c>
      <c r="O203">
        <v>158</v>
      </c>
      <c r="P203" s="6">
        <v>21870</v>
      </c>
      <c r="Q203">
        <v>10935</v>
      </c>
      <c r="R203">
        <v>4374</v>
      </c>
      <c r="S203">
        <v>286</v>
      </c>
      <c r="T203" s="6">
        <v>530.88</v>
      </c>
      <c r="U203" t="s">
        <v>168</v>
      </c>
      <c r="V203" t="s">
        <v>1677</v>
      </c>
      <c r="W203" t="s">
        <v>1687</v>
      </c>
      <c r="X203" t="s">
        <v>1675</v>
      </c>
      <c r="Y203" t="s">
        <v>1679</v>
      </c>
      <c r="Z203" t="s">
        <v>1680</v>
      </c>
      <c r="AA203" t="s">
        <v>660</v>
      </c>
      <c r="AB203">
        <v>64</v>
      </c>
      <c r="AC203">
        <v>25</v>
      </c>
      <c r="AE203">
        <v>56</v>
      </c>
      <c r="AH203" t="s">
        <v>98</v>
      </c>
    </row>
    <row r="204" spans="1:34" x14ac:dyDescent="0.25">
      <c r="A204">
        <v>203</v>
      </c>
      <c r="B204" s="5">
        <v>691637853</v>
      </c>
      <c r="C204" s="5">
        <v>35482617668</v>
      </c>
      <c r="D204">
        <v>5713</v>
      </c>
      <c r="E204" s="1" t="s">
        <v>1689</v>
      </c>
      <c r="F204" t="s">
        <v>661</v>
      </c>
      <c r="G204" t="s">
        <v>662</v>
      </c>
      <c r="H204">
        <v>35890</v>
      </c>
      <c r="I204">
        <v>33303875</v>
      </c>
      <c r="L204" s="2">
        <v>42460</v>
      </c>
      <c r="M204" s="3">
        <f t="shared" si="3"/>
        <v>2016</v>
      </c>
      <c r="N204" s="2" t="s">
        <v>28</v>
      </c>
      <c r="O204">
        <v>204</v>
      </c>
      <c r="P204" s="6">
        <v>20470</v>
      </c>
      <c r="Q204">
        <v>10235</v>
      </c>
      <c r="R204">
        <v>4094</v>
      </c>
      <c r="S204">
        <v>286</v>
      </c>
      <c r="T204" s="6">
        <v>685.44</v>
      </c>
      <c r="U204" t="s">
        <v>110</v>
      </c>
      <c r="V204" t="s">
        <v>1680</v>
      </c>
      <c r="W204" t="s">
        <v>1687</v>
      </c>
      <c r="X204" t="s">
        <v>1675</v>
      </c>
      <c r="Y204" t="s">
        <v>61</v>
      </c>
      <c r="Z204" t="s">
        <v>1676</v>
      </c>
      <c r="AA204" t="s">
        <v>663</v>
      </c>
      <c r="AB204">
        <v>38</v>
      </c>
      <c r="AC204">
        <v>60</v>
      </c>
      <c r="AE204">
        <v>43</v>
      </c>
      <c r="AH204" t="s">
        <v>98</v>
      </c>
    </row>
    <row r="205" spans="1:34" x14ac:dyDescent="0.25">
      <c r="A205">
        <v>204</v>
      </c>
      <c r="B205" s="5">
        <v>615666412</v>
      </c>
      <c r="C205" s="3">
        <v>1225896676</v>
      </c>
      <c r="D205">
        <v>1131</v>
      </c>
      <c r="E205" s="1" t="s">
        <v>1689</v>
      </c>
      <c r="F205" t="s">
        <v>664</v>
      </c>
      <c r="G205" t="s">
        <v>665</v>
      </c>
      <c r="H205">
        <v>30987</v>
      </c>
      <c r="I205">
        <v>35754384</v>
      </c>
      <c r="L205" s="2">
        <v>37557</v>
      </c>
      <c r="M205" s="3">
        <f t="shared" si="3"/>
        <v>2002</v>
      </c>
      <c r="N205" s="2" t="s">
        <v>28</v>
      </c>
      <c r="O205">
        <v>159</v>
      </c>
      <c r="P205" s="6">
        <v>24410</v>
      </c>
      <c r="Q205">
        <v>12205</v>
      </c>
      <c r="R205">
        <v>4882</v>
      </c>
      <c r="S205">
        <v>176</v>
      </c>
      <c r="T205" s="6">
        <v>534.24</v>
      </c>
      <c r="U205" t="s">
        <v>127</v>
      </c>
      <c r="V205" t="s">
        <v>1686</v>
      </c>
      <c r="W205" t="s">
        <v>1685</v>
      </c>
      <c r="X205" t="s">
        <v>1683</v>
      </c>
      <c r="Y205" t="s">
        <v>1679</v>
      </c>
      <c r="Z205" t="s">
        <v>1684</v>
      </c>
      <c r="AA205" t="s">
        <v>666</v>
      </c>
      <c r="AB205">
        <v>36</v>
      </c>
      <c r="AC205">
        <v>48</v>
      </c>
      <c r="AE205">
        <v>100</v>
      </c>
      <c r="AH205" t="s">
        <v>57</v>
      </c>
    </row>
    <row r="206" spans="1:34" x14ac:dyDescent="0.25">
      <c r="A206">
        <v>205</v>
      </c>
      <c r="B206" s="5">
        <v>382846456</v>
      </c>
      <c r="C206" s="5">
        <v>77393726923</v>
      </c>
      <c r="D206">
        <v>7682</v>
      </c>
      <c r="E206" s="1" t="s">
        <v>1688</v>
      </c>
      <c r="F206" t="s">
        <v>667</v>
      </c>
      <c r="G206" t="s">
        <v>668</v>
      </c>
      <c r="H206">
        <v>27750</v>
      </c>
      <c r="I206">
        <v>24969851</v>
      </c>
      <c r="L206" s="2">
        <v>39465</v>
      </c>
      <c r="M206" s="3">
        <f t="shared" si="3"/>
        <v>2008</v>
      </c>
      <c r="N206" s="2" t="s">
        <v>28</v>
      </c>
      <c r="O206">
        <v>241</v>
      </c>
      <c r="P206" s="6">
        <v>19035</v>
      </c>
      <c r="Q206">
        <v>9517.5</v>
      </c>
      <c r="R206">
        <v>3807</v>
      </c>
      <c r="S206">
        <v>198</v>
      </c>
      <c r="T206" s="6">
        <v>809.76</v>
      </c>
      <c r="U206" t="s">
        <v>92</v>
      </c>
      <c r="V206" t="s">
        <v>1686</v>
      </c>
      <c r="W206" t="s">
        <v>1678</v>
      </c>
      <c r="X206" t="s">
        <v>1683</v>
      </c>
      <c r="Y206" t="s">
        <v>1679</v>
      </c>
      <c r="Z206" t="s">
        <v>1684</v>
      </c>
      <c r="AA206" t="s">
        <v>669</v>
      </c>
      <c r="AB206">
        <v>117</v>
      </c>
      <c r="AC206">
        <v>26</v>
      </c>
      <c r="AE206">
        <v>118</v>
      </c>
      <c r="AH206" t="s">
        <v>36</v>
      </c>
    </row>
    <row r="207" spans="1:34" x14ac:dyDescent="0.25">
      <c r="A207">
        <v>206</v>
      </c>
      <c r="B207" s="5">
        <v>622070086</v>
      </c>
      <c r="C207" s="5">
        <v>17564833287</v>
      </c>
      <c r="D207">
        <v>1849</v>
      </c>
      <c r="E207" s="1" t="s">
        <v>1689</v>
      </c>
      <c r="F207" t="s">
        <v>670</v>
      </c>
      <c r="G207" t="s">
        <v>671</v>
      </c>
      <c r="H207">
        <v>26946</v>
      </c>
      <c r="I207">
        <v>39914696</v>
      </c>
      <c r="L207" s="2">
        <v>40568</v>
      </c>
      <c r="M207" s="3">
        <f t="shared" si="3"/>
        <v>2011</v>
      </c>
      <c r="N207" s="2">
        <v>42787</v>
      </c>
      <c r="O207">
        <v>235</v>
      </c>
      <c r="P207" s="6">
        <v>3480</v>
      </c>
      <c r="Q207">
        <v>1740</v>
      </c>
      <c r="R207">
        <v>696</v>
      </c>
      <c r="S207">
        <v>198</v>
      </c>
      <c r="T207" s="6">
        <v>789.6</v>
      </c>
      <c r="U207" t="s">
        <v>172</v>
      </c>
      <c r="V207" t="s">
        <v>1686</v>
      </c>
      <c r="W207" t="s">
        <v>1674</v>
      </c>
      <c r="X207" t="s">
        <v>1683</v>
      </c>
      <c r="Y207" t="s">
        <v>1679</v>
      </c>
      <c r="Z207" t="s">
        <v>1684</v>
      </c>
      <c r="AA207" t="s">
        <v>672</v>
      </c>
      <c r="AB207">
        <v>136</v>
      </c>
      <c r="AC207">
        <v>46</v>
      </c>
      <c r="AE207">
        <v>52</v>
      </c>
      <c r="AH207" t="s">
        <v>31</v>
      </c>
    </row>
    <row r="208" spans="1:34" x14ac:dyDescent="0.25">
      <c r="A208">
        <v>207</v>
      </c>
      <c r="B208" s="5">
        <v>622222189</v>
      </c>
      <c r="C208" s="5">
        <v>18204188826</v>
      </c>
      <c r="D208">
        <v>3870</v>
      </c>
      <c r="E208" s="1" t="s">
        <v>1688</v>
      </c>
      <c r="F208" t="s">
        <v>673</v>
      </c>
      <c r="G208" t="s">
        <v>674</v>
      </c>
      <c r="H208">
        <v>30666</v>
      </c>
      <c r="I208">
        <v>32954078</v>
      </c>
      <c r="L208" s="2">
        <v>38007</v>
      </c>
      <c r="M208" s="3">
        <f t="shared" si="3"/>
        <v>2004</v>
      </c>
      <c r="N208" s="2" t="s">
        <v>28</v>
      </c>
      <c r="O208">
        <v>203</v>
      </c>
      <c r="P208" s="6">
        <v>14228</v>
      </c>
      <c r="Q208">
        <v>7114</v>
      </c>
      <c r="R208">
        <v>2845.6000000000004</v>
      </c>
      <c r="S208">
        <v>220</v>
      </c>
      <c r="T208" s="6">
        <v>682.07999999999993</v>
      </c>
      <c r="U208" t="s">
        <v>140</v>
      </c>
      <c r="V208" t="s">
        <v>1682</v>
      </c>
      <c r="W208" t="s">
        <v>1678</v>
      </c>
      <c r="X208" t="s">
        <v>1683</v>
      </c>
      <c r="Y208" t="s">
        <v>1679</v>
      </c>
      <c r="Z208" t="s">
        <v>1684</v>
      </c>
      <c r="AA208" t="s">
        <v>675</v>
      </c>
      <c r="AB208">
        <v>85</v>
      </c>
      <c r="AC208">
        <v>9</v>
      </c>
      <c r="AE208">
        <v>113</v>
      </c>
      <c r="AH208" t="s">
        <v>36</v>
      </c>
    </row>
    <row r="209" spans="1:34" x14ac:dyDescent="0.25">
      <c r="A209">
        <v>208</v>
      </c>
      <c r="B209" s="5">
        <v>797128823</v>
      </c>
      <c r="C209" s="5">
        <v>97563313784</v>
      </c>
      <c r="D209">
        <v>1326</v>
      </c>
      <c r="E209" s="1" t="s">
        <v>1689</v>
      </c>
      <c r="F209" t="s">
        <v>676</v>
      </c>
      <c r="G209" t="s">
        <v>677</v>
      </c>
      <c r="H209">
        <v>32151</v>
      </c>
      <c r="I209">
        <v>45580494</v>
      </c>
      <c r="L209" s="2">
        <v>41526</v>
      </c>
      <c r="M209" s="3">
        <f t="shared" si="3"/>
        <v>2013</v>
      </c>
      <c r="N209" s="2" t="s">
        <v>28</v>
      </c>
      <c r="O209">
        <v>155</v>
      </c>
      <c r="P209" s="6">
        <v>13049</v>
      </c>
      <c r="Q209">
        <v>6524.5</v>
      </c>
      <c r="R209">
        <v>2609.8000000000002</v>
      </c>
      <c r="S209">
        <v>154</v>
      </c>
      <c r="T209" s="6">
        <v>520.80000000000007</v>
      </c>
      <c r="U209" t="s">
        <v>44</v>
      </c>
      <c r="V209" t="s">
        <v>1682</v>
      </c>
      <c r="W209" t="s">
        <v>1681</v>
      </c>
      <c r="X209" t="s">
        <v>1683</v>
      </c>
      <c r="Y209" t="s">
        <v>1679</v>
      </c>
      <c r="Z209" t="s">
        <v>1684</v>
      </c>
      <c r="AA209" t="s">
        <v>678</v>
      </c>
      <c r="AB209">
        <v>98</v>
      </c>
      <c r="AC209">
        <v>60</v>
      </c>
      <c r="AE209">
        <v>154</v>
      </c>
      <c r="AH209" t="s">
        <v>41</v>
      </c>
    </row>
    <row r="210" spans="1:34" x14ac:dyDescent="0.25">
      <c r="A210">
        <v>209</v>
      </c>
      <c r="B210" s="5">
        <v>121855587</v>
      </c>
      <c r="C210" s="5">
        <v>87075220857</v>
      </c>
      <c r="D210">
        <v>4993</v>
      </c>
      <c r="E210" s="1" t="s">
        <v>1689</v>
      </c>
      <c r="F210" t="s">
        <v>679</v>
      </c>
      <c r="G210" t="s">
        <v>680</v>
      </c>
      <c r="H210">
        <v>35823</v>
      </c>
      <c r="I210">
        <v>31597586</v>
      </c>
      <c r="L210" s="2">
        <v>42393</v>
      </c>
      <c r="M210" s="3">
        <f t="shared" si="3"/>
        <v>2016</v>
      </c>
      <c r="N210" s="2" t="s">
        <v>28</v>
      </c>
      <c r="O210">
        <v>249</v>
      </c>
      <c r="P210" s="6">
        <v>7520</v>
      </c>
      <c r="Q210">
        <v>3760</v>
      </c>
      <c r="R210">
        <v>1504</v>
      </c>
      <c r="S210">
        <v>154</v>
      </c>
      <c r="T210" s="6">
        <v>836.64</v>
      </c>
      <c r="U210" t="s">
        <v>96</v>
      </c>
      <c r="V210" t="s">
        <v>1686</v>
      </c>
      <c r="W210" t="s">
        <v>1687</v>
      </c>
      <c r="X210" t="s">
        <v>1683</v>
      </c>
      <c r="Y210" t="s">
        <v>1679</v>
      </c>
      <c r="Z210" t="s">
        <v>1684</v>
      </c>
      <c r="AA210" t="s">
        <v>681</v>
      </c>
      <c r="AB210">
        <v>33</v>
      </c>
      <c r="AC210">
        <v>35</v>
      </c>
      <c r="AE210">
        <v>143</v>
      </c>
      <c r="AH210" t="s">
        <v>98</v>
      </c>
    </row>
    <row r="211" spans="1:34" x14ac:dyDescent="0.25">
      <c r="A211">
        <v>210</v>
      </c>
      <c r="B211" s="5">
        <v>819179412</v>
      </c>
      <c r="C211" s="5">
        <v>39014801249</v>
      </c>
      <c r="D211">
        <v>1656</v>
      </c>
      <c r="E211" s="1" t="s">
        <v>1688</v>
      </c>
      <c r="F211" t="s">
        <v>682</v>
      </c>
      <c r="G211" t="s">
        <v>683</v>
      </c>
      <c r="H211">
        <v>27119</v>
      </c>
      <c r="I211">
        <v>21366453</v>
      </c>
      <c r="L211" s="2">
        <v>38017</v>
      </c>
      <c r="M211" s="3">
        <f t="shared" si="3"/>
        <v>2004</v>
      </c>
      <c r="N211" s="2" t="s">
        <v>28</v>
      </c>
      <c r="O211">
        <v>218</v>
      </c>
      <c r="P211" s="6">
        <v>17514</v>
      </c>
      <c r="Q211">
        <v>8757</v>
      </c>
      <c r="R211">
        <v>3502.8</v>
      </c>
      <c r="S211">
        <v>308</v>
      </c>
      <c r="T211" s="6">
        <v>732.48</v>
      </c>
      <c r="U211" t="s">
        <v>157</v>
      </c>
      <c r="V211" t="s">
        <v>1682</v>
      </c>
      <c r="W211" t="s">
        <v>1687</v>
      </c>
      <c r="X211" t="s">
        <v>1683</v>
      </c>
      <c r="Y211" t="s">
        <v>1679</v>
      </c>
      <c r="Z211" t="s">
        <v>1684</v>
      </c>
      <c r="AA211" t="s">
        <v>684</v>
      </c>
      <c r="AB211">
        <v>50</v>
      </c>
      <c r="AC211">
        <v>10</v>
      </c>
      <c r="AE211">
        <v>187</v>
      </c>
      <c r="AH211" t="s">
        <v>98</v>
      </c>
    </row>
    <row r="212" spans="1:34" x14ac:dyDescent="0.25">
      <c r="A212">
        <v>211</v>
      </c>
      <c r="B212" s="5">
        <v>908478392</v>
      </c>
      <c r="C212" s="5">
        <v>19510428633</v>
      </c>
      <c r="D212">
        <v>4270</v>
      </c>
      <c r="E212" s="1" t="s">
        <v>1689</v>
      </c>
      <c r="F212" t="s">
        <v>685</v>
      </c>
      <c r="G212" t="s">
        <v>686</v>
      </c>
      <c r="H212">
        <v>25981</v>
      </c>
      <c r="I212">
        <v>32196705</v>
      </c>
      <c r="L212" s="2">
        <v>39828</v>
      </c>
      <c r="M212" s="3">
        <f t="shared" si="3"/>
        <v>2009</v>
      </c>
      <c r="N212" s="2" t="s">
        <v>28</v>
      </c>
      <c r="O212">
        <v>152</v>
      </c>
      <c r="P212" s="6">
        <v>4253</v>
      </c>
      <c r="Q212">
        <v>2126.5</v>
      </c>
      <c r="R212">
        <v>850.6</v>
      </c>
      <c r="S212">
        <v>286</v>
      </c>
      <c r="T212" s="6">
        <v>510.71999999999997</v>
      </c>
      <c r="U212" t="s">
        <v>92</v>
      </c>
      <c r="V212" t="s">
        <v>1686</v>
      </c>
      <c r="W212" t="s">
        <v>1678</v>
      </c>
      <c r="X212" t="s">
        <v>1683</v>
      </c>
      <c r="Y212" t="s">
        <v>1679</v>
      </c>
      <c r="Z212" t="s">
        <v>1684</v>
      </c>
      <c r="AA212" t="s">
        <v>687</v>
      </c>
      <c r="AB212">
        <v>72</v>
      </c>
      <c r="AC212">
        <v>40</v>
      </c>
      <c r="AE212">
        <v>143</v>
      </c>
      <c r="AH212" t="s">
        <v>36</v>
      </c>
    </row>
    <row r="213" spans="1:34" x14ac:dyDescent="0.25">
      <c r="A213">
        <v>212</v>
      </c>
      <c r="B213" s="5">
        <v>633515952</v>
      </c>
      <c r="C213" s="5">
        <v>18960971427</v>
      </c>
      <c r="D213">
        <v>1477</v>
      </c>
      <c r="E213" s="1" t="s">
        <v>1688</v>
      </c>
      <c r="F213" t="s">
        <v>688</v>
      </c>
      <c r="G213" t="s">
        <v>689</v>
      </c>
      <c r="H213">
        <v>26459</v>
      </c>
      <c r="I213">
        <v>49499075</v>
      </c>
      <c r="L213" s="2">
        <v>37342</v>
      </c>
      <c r="M213" s="3">
        <f t="shared" si="3"/>
        <v>2002</v>
      </c>
      <c r="N213" s="2" t="s">
        <v>28</v>
      </c>
      <c r="O213">
        <v>156</v>
      </c>
      <c r="P213" s="6">
        <v>19553</v>
      </c>
      <c r="Q213">
        <v>9776.5</v>
      </c>
      <c r="R213">
        <v>3910.6000000000004</v>
      </c>
      <c r="S213">
        <v>308</v>
      </c>
      <c r="T213" s="6">
        <v>524.16</v>
      </c>
      <c r="U213" t="s">
        <v>164</v>
      </c>
      <c r="V213" t="s">
        <v>1677</v>
      </c>
      <c r="W213" t="s">
        <v>1674</v>
      </c>
      <c r="X213" t="s">
        <v>1675</v>
      </c>
      <c r="Y213" t="s">
        <v>1679</v>
      </c>
      <c r="Z213" t="s">
        <v>1680</v>
      </c>
      <c r="AA213" t="s">
        <v>690</v>
      </c>
      <c r="AB213">
        <v>119</v>
      </c>
      <c r="AC213">
        <v>13</v>
      </c>
      <c r="AE213">
        <v>100</v>
      </c>
      <c r="AH213" t="s">
        <v>31</v>
      </c>
    </row>
    <row r="214" spans="1:34" x14ac:dyDescent="0.25">
      <c r="A214">
        <v>213</v>
      </c>
      <c r="B214" s="5">
        <v>431047977</v>
      </c>
      <c r="C214" s="5">
        <v>22073793650</v>
      </c>
      <c r="D214">
        <v>7803</v>
      </c>
      <c r="E214" s="1" t="s">
        <v>1689</v>
      </c>
      <c r="F214" t="s">
        <v>691</v>
      </c>
      <c r="G214" t="s">
        <v>692</v>
      </c>
      <c r="H214">
        <v>26427</v>
      </c>
      <c r="I214">
        <v>30534816</v>
      </c>
      <c r="L214" s="2">
        <v>36727</v>
      </c>
      <c r="M214" s="3">
        <f t="shared" si="3"/>
        <v>2000</v>
      </c>
      <c r="N214" s="2" t="s">
        <v>28</v>
      </c>
      <c r="O214">
        <v>161</v>
      </c>
      <c r="P214" s="6">
        <v>20217</v>
      </c>
      <c r="Q214">
        <v>10108.5</v>
      </c>
      <c r="R214">
        <v>4043.4</v>
      </c>
      <c r="S214">
        <v>176</v>
      </c>
      <c r="T214" s="6">
        <v>540.96</v>
      </c>
      <c r="U214" t="s">
        <v>64</v>
      </c>
      <c r="V214" t="s">
        <v>1682</v>
      </c>
      <c r="W214" t="s">
        <v>1685</v>
      </c>
      <c r="X214" t="s">
        <v>1683</v>
      </c>
      <c r="Y214" t="s">
        <v>1679</v>
      </c>
      <c r="Z214" t="s">
        <v>1684</v>
      </c>
      <c r="AA214" t="s">
        <v>693</v>
      </c>
      <c r="AB214">
        <v>24</v>
      </c>
      <c r="AC214">
        <v>0</v>
      </c>
      <c r="AE214">
        <v>113</v>
      </c>
      <c r="AH214" t="s">
        <v>57</v>
      </c>
    </row>
    <row r="215" spans="1:34" x14ac:dyDescent="0.25">
      <c r="A215">
        <v>214</v>
      </c>
      <c r="B215" s="5">
        <v>637262985</v>
      </c>
      <c r="C215" s="5">
        <v>89104552095</v>
      </c>
      <c r="D215">
        <v>6515</v>
      </c>
      <c r="E215" s="1" t="s">
        <v>1688</v>
      </c>
      <c r="F215" t="s">
        <v>694</v>
      </c>
      <c r="G215" t="s">
        <v>695</v>
      </c>
      <c r="H215">
        <v>25882</v>
      </c>
      <c r="I215">
        <v>45003450</v>
      </c>
      <c r="L215" s="2">
        <v>39638</v>
      </c>
      <c r="M215" s="3">
        <f t="shared" si="3"/>
        <v>2008</v>
      </c>
      <c r="N215" s="2" t="s">
        <v>28</v>
      </c>
      <c r="O215">
        <v>179</v>
      </c>
      <c r="P215" s="6">
        <v>4702</v>
      </c>
      <c r="Q215">
        <v>2351</v>
      </c>
      <c r="R215">
        <v>940.40000000000009</v>
      </c>
      <c r="S215">
        <v>242</v>
      </c>
      <c r="T215" s="6">
        <v>601.44000000000005</v>
      </c>
      <c r="U215" t="s">
        <v>51</v>
      </c>
      <c r="V215" t="s">
        <v>1682</v>
      </c>
      <c r="W215" t="s">
        <v>1674</v>
      </c>
      <c r="X215" t="s">
        <v>1683</v>
      </c>
      <c r="Y215" t="s">
        <v>1679</v>
      </c>
      <c r="Z215" t="s">
        <v>1684</v>
      </c>
      <c r="AA215" t="s">
        <v>696</v>
      </c>
      <c r="AB215">
        <v>50</v>
      </c>
      <c r="AC215">
        <v>16</v>
      </c>
      <c r="AE215">
        <v>137</v>
      </c>
      <c r="AH215" t="s">
        <v>31</v>
      </c>
    </row>
    <row r="216" spans="1:34" x14ac:dyDescent="0.25">
      <c r="A216">
        <v>215</v>
      </c>
      <c r="B216" s="5">
        <v>962953644</v>
      </c>
      <c r="C216" s="5">
        <v>92232272948</v>
      </c>
      <c r="D216">
        <v>5867</v>
      </c>
      <c r="E216" s="1" t="s">
        <v>1688</v>
      </c>
      <c r="F216" t="s">
        <v>697</v>
      </c>
      <c r="G216" t="s">
        <v>698</v>
      </c>
      <c r="H216">
        <v>33256</v>
      </c>
      <c r="I216">
        <v>43572037</v>
      </c>
      <c r="L216" s="2">
        <v>39826</v>
      </c>
      <c r="M216" s="3">
        <f t="shared" si="3"/>
        <v>2009</v>
      </c>
      <c r="N216" s="2" t="s">
        <v>28</v>
      </c>
      <c r="O216">
        <v>226</v>
      </c>
      <c r="P216" s="6">
        <v>15301</v>
      </c>
      <c r="Q216">
        <v>7650.5</v>
      </c>
      <c r="R216">
        <v>3060.2000000000003</v>
      </c>
      <c r="S216">
        <v>286</v>
      </c>
      <c r="T216" s="6">
        <v>759.36</v>
      </c>
      <c r="U216" t="s">
        <v>164</v>
      </c>
      <c r="V216" t="s">
        <v>1677</v>
      </c>
      <c r="W216" t="s">
        <v>1674</v>
      </c>
      <c r="X216" t="s">
        <v>1675</v>
      </c>
      <c r="Y216" t="s">
        <v>1679</v>
      </c>
      <c r="Z216" t="s">
        <v>1680</v>
      </c>
      <c r="AA216" t="s">
        <v>699</v>
      </c>
      <c r="AB216">
        <v>90</v>
      </c>
      <c r="AC216">
        <v>30</v>
      </c>
      <c r="AE216">
        <v>192</v>
      </c>
      <c r="AH216" t="s">
        <v>31</v>
      </c>
    </row>
    <row r="217" spans="1:34" x14ac:dyDescent="0.25">
      <c r="A217">
        <v>216</v>
      </c>
      <c r="B217" s="5">
        <v>211252863</v>
      </c>
      <c r="C217" s="3">
        <v>580992867</v>
      </c>
      <c r="D217">
        <v>1742</v>
      </c>
      <c r="E217" s="1" t="s">
        <v>1688</v>
      </c>
      <c r="F217" t="s">
        <v>700</v>
      </c>
      <c r="G217" t="s">
        <v>701</v>
      </c>
      <c r="H217">
        <v>34829</v>
      </c>
      <c r="I217">
        <v>36336491</v>
      </c>
      <c r="L217" s="2">
        <v>41399</v>
      </c>
      <c r="M217" s="3">
        <f t="shared" si="3"/>
        <v>2013</v>
      </c>
      <c r="N217" s="2" t="s">
        <v>28</v>
      </c>
      <c r="O217">
        <v>178</v>
      </c>
      <c r="P217" s="6">
        <v>11342</v>
      </c>
      <c r="Q217">
        <v>5671</v>
      </c>
      <c r="R217">
        <v>2268.4</v>
      </c>
      <c r="S217">
        <v>176</v>
      </c>
      <c r="T217" s="6">
        <v>598.07999999999993</v>
      </c>
      <c r="U217" t="s">
        <v>157</v>
      </c>
      <c r="V217" t="s">
        <v>1682</v>
      </c>
      <c r="W217" t="s">
        <v>1687</v>
      </c>
      <c r="X217" t="s">
        <v>1683</v>
      </c>
      <c r="Y217" t="s">
        <v>1679</v>
      </c>
      <c r="Z217" t="s">
        <v>1684</v>
      </c>
      <c r="AA217" t="s">
        <v>702</v>
      </c>
      <c r="AB217">
        <v>62</v>
      </c>
      <c r="AC217">
        <v>40</v>
      </c>
      <c r="AE217">
        <v>108</v>
      </c>
      <c r="AH217" t="s">
        <v>98</v>
      </c>
    </row>
    <row r="218" spans="1:34" x14ac:dyDescent="0.25">
      <c r="A218">
        <v>217</v>
      </c>
      <c r="B218" s="5">
        <v>686353578</v>
      </c>
      <c r="C218" s="5">
        <v>21677211125</v>
      </c>
      <c r="D218">
        <v>5320</v>
      </c>
      <c r="E218" s="1" t="s">
        <v>1689</v>
      </c>
      <c r="F218" t="s">
        <v>703</v>
      </c>
      <c r="G218" t="s">
        <v>704</v>
      </c>
      <c r="H218">
        <v>32627</v>
      </c>
      <c r="I218">
        <v>26119834</v>
      </c>
      <c r="L218" s="2">
        <v>41748</v>
      </c>
      <c r="M218" s="3">
        <f t="shared" si="3"/>
        <v>2014</v>
      </c>
      <c r="N218" s="2" t="s">
        <v>28</v>
      </c>
      <c r="O218">
        <v>230</v>
      </c>
      <c r="P218" s="6">
        <v>16368</v>
      </c>
      <c r="Q218">
        <v>8184</v>
      </c>
      <c r="R218">
        <v>3273.6000000000004</v>
      </c>
      <c r="S218">
        <v>176</v>
      </c>
      <c r="T218" s="6">
        <v>772.80000000000007</v>
      </c>
      <c r="U218" t="s">
        <v>82</v>
      </c>
      <c r="V218" t="s">
        <v>1677</v>
      </c>
      <c r="W218" t="s">
        <v>1685</v>
      </c>
      <c r="X218" t="s">
        <v>1675</v>
      </c>
      <c r="Y218" t="s">
        <v>1679</v>
      </c>
      <c r="Z218" t="s">
        <v>1680</v>
      </c>
      <c r="AA218" t="s">
        <v>705</v>
      </c>
      <c r="AB218">
        <v>27</v>
      </c>
      <c r="AC218">
        <v>53</v>
      </c>
      <c r="AE218">
        <v>63</v>
      </c>
      <c r="AH218" t="s">
        <v>57</v>
      </c>
    </row>
    <row r="219" spans="1:34" x14ac:dyDescent="0.25">
      <c r="A219">
        <v>218</v>
      </c>
      <c r="B219" s="5">
        <v>485694784</v>
      </c>
      <c r="C219" s="5">
        <v>99578577631</v>
      </c>
      <c r="D219">
        <v>1051</v>
      </c>
      <c r="E219" s="1" t="s">
        <v>1689</v>
      </c>
      <c r="F219" t="s">
        <v>706</v>
      </c>
      <c r="G219" t="s">
        <v>707</v>
      </c>
      <c r="H219">
        <v>25579</v>
      </c>
      <c r="I219">
        <v>49426801</v>
      </c>
      <c r="L219" s="2">
        <v>33145</v>
      </c>
      <c r="M219" s="3">
        <f t="shared" si="3"/>
        <v>1990</v>
      </c>
      <c r="N219" s="2" t="s">
        <v>28</v>
      </c>
      <c r="O219">
        <v>150</v>
      </c>
      <c r="P219" s="6">
        <v>3421</v>
      </c>
      <c r="Q219">
        <v>1710.5</v>
      </c>
      <c r="R219">
        <v>684.2</v>
      </c>
      <c r="S219">
        <v>220</v>
      </c>
      <c r="T219" s="6">
        <v>504</v>
      </c>
      <c r="U219" t="s">
        <v>96</v>
      </c>
      <c r="V219" t="s">
        <v>1686</v>
      </c>
      <c r="W219" t="s">
        <v>1687</v>
      </c>
      <c r="X219" t="s">
        <v>1683</v>
      </c>
      <c r="Y219" t="s">
        <v>1679</v>
      </c>
      <c r="Z219" t="s">
        <v>1684</v>
      </c>
      <c r="AA219" t="s">
        <v>708</v>
      </c>
      <c r="AB219">
        <v>128</v>
      </c>
      <c r="AC219">
        <v>52</v>
      </c>
      <c r="AE219">
        <v>107</v>
      </c>
      <c r="AH219" t="s">
        <v>98</v>
      </c>
    </row>
    <row r="220" spans="1:34" x14ac:dyDescent="0.25">
      <c r="A220">
        <v>219</v>
      </c>
      <c r="B220" s="5">
        <v>753653710</v>
      </c>
      <c r="C220" s="5">
        <v>81631420902</v>
      </c>
      <c r="D220">
        <v>6526</v>
      </c>
      <c r="E220" s="1" t="s">
        <v>1689</v>
      </c>
      <c r="F220" t="s">
        <v>709</v>
      </c>
      <c r="G220" t="s">
        <v>710</v>
      </c>
      <c r="H220">
        <v>29144</v>
      </c>
      <c r="I220">
        <v>43114997</v>
      </c>
      <c r="L220" s="2">
        <v>40230</v>
      </c>
      <c r="M220" s="3">
        <f t="shared" si="3"/>
        <v>2010</v>
      </c>
      <c r="N220" s="2" t="s">
        <v>28</v>
      </c>
      <c r="O220">
        <v>239</v>
      </c>
      <c r="P220" s="6">
        <v>15128</v>
      </c>
      <c r="Q220">
        <v>7564</v>
      </c>
      <c r="R220">
        <v>3025.6000000000004</v>
      </c>
      <c r="S220">
        <v>242</v>
      </c>
      <c r="T220" s="6">
        <v>803.04</v>
      </c>
      <c r="U220" t="s">
        <v>120</v>
      </c>
      <c r="V220" t="s">
        <v>1673</v>
      </c>
      <c r="W220" t="s">
        <v>1681</v>
      </c>
      <c r="X220" t="s">
        <v>1675</v>
      </c>
      <c r="Y220" t="s">
        <v>61</v>
      </c>
      <c r="Z220" t="s">
        <v>1676</v>
      </c>
      <c r="AA220" t="s">
        <v>711</v>
      </c>
      <c r="AB220">
        <v>142</v>
      </c>
      <c r="AC220">
        <v>58</v>
      </c>
      <c r="AE220">
        <v>56</v>
      </c>
      <c r="AH220" t="s">
        <v>41</v>
      </c>
    </row>
    <row r="221" spans="1:34" x14ac:dyDescent="0.25">
      <c r="A221">
        <v>220</v>
      </c>
      <c r="B221" s="5">
        <v>868379858</v>
      </c>
      <c r="C221" s="3">
        <v>3391678881</v>
      </c>
      <c r="D221">
        <v>4477</v>
      </c>
      <c r="E221" s="1" t="s">
        <v>1688</v>
      </c>
      <c r="F221" t="s">
        <v>712</v>
      </c>
      <c r="G221" t="s">
        <v>713</v>
      </c>
      <c r="H221">
        <v>26030</v>
      </c>
      <c r="I221">
        <v>35696839</v>
      </c>
      <c r="L221" s="2">
        <v>36717</v>
      </c>
      <c r="M221" s="3">
        <f t="shared" si="3"/>
        <v>2000</v>
      </c>
      <c r="N221" s="2" t="s">
        <v>28</v>
      </c>
      <c r="O221">
        <v>165</v>
      </c>
      <c r="P221" s="6">
        <v>21959</v>
      </c>
      <c r="Q221">
        <v>10979.5</v>
      </c>
      <c r="R221">
        <v>4391.8</v>
      </c>
      <c r="S221">
        <v>264</v>
      </c>
      <c r="T221" s="6">
        <v>554.4</v>
      </c>
      <c r="U221" t="s">
        <v>68</v>
      </c>
      <c r="V221" t="s">
        <v>1686</v>
      </c>
      <c r="W221" t="s">
        <v>1681</v>
      </c>
      <c r="X221" t="s">
        <v>1683</v>
      </c>
      <c r="Y221" t="s">
        <v>1679</v>
      </c>
      <c r="Z221" t="s">
        <v>1684</v>
      </c>
      <c r="AA221" t="s">
        <v>714</v>
      </c>
      <c r="AB221">
        <v>21</v>
      </c>
      <c r="AC221">
        <v>37</v>
      </c>
      <c r="AE221">
        <v>49</v>
      </c>
      <c r="AH221" t="s">
        <v>41</v>
      </c>
    </row>
    <row r="222" spans="1:34" x14ac:dyDescent="0.25">
      <c r="A222">
        <v>221</v>
      </c>
      <c r="B222" s="5">
        <v>455091342</v>
      </c>
      <c r="C222" s="5">
        <v>69387136203</v>
      </c>
      <c r="D222">
        <v>5338</v>
      </c>
      <c r="E222" s="1" t="s">
        <v>1688</v>
      </c>
      <c r="F222" t="s">
        <v>715</v>
      </c>
      <c r="G222" t="s">
        <v>716</v>
      </c>
      <c r="H222">
        <v>32769</v>
      </c>
      <c r="I222">
        <v>29633853</v>
      </c>
      <c r="L222" s="2">
        <v>42542</v>
      </c>
      <c r="M222" s="3">
        <f t="shared" si="3"/>
        <v>2016</v>
      </c>
      <c r="N222" s="2" t="s">
        <v>28</v>
      </c>
      <c r="O222">
        <v>239</v>
      </c>
      <c r="P222" s="6">
        <v>9729</v>
      </c>
      <c r="Q222">
        <v>4864.5</v>
      </c>
      <c r="R222">
        <v>1945.8000000000002</v>
      </c>
      <c r="S222">
        <v>198</v>
      </c>
      <c r="T222" s="6">
        <v>803.04</v>
      </c>
      <c r="U222" t="s">
        <v>172</v>
      </c>
      <c r="V222" t="s">
        <v>1686</v>
      </c>
      <c r="W222" t="s">
        <v>1674</v>
      </c>
      <c r="X222" t="s">
        <v>1683</v>
      </c>
      <c r="Y222" t="s">
        <v>1679</v>
      </c>
      <c r="Z222" t="s">
        <v>1684</v>
      </c>
      <c r="AA222" t="s">
        <v>717</v>
      </c>
      <c r="AB222">
        <v>134</v>
      </c>
      <c r="AC222">
        <v>26</v>
      </c>
      <c r="AE222">
        <v>108</v>
      </c>
      <c r="AH222" t="s">
        <v>31</v>
      </c>
    </row>
    <row r="223" spans="1:34" x14ac:dyDescent="0.25">
      <c r="A223">
        <v>222</v>
      </c>
      <c r="B223" s="5">
        <v>271464316</v>
      </c>
      <c r="C223" s="3">
        <v>4341832481</v>
      </c>
      <c r="D223">
        <v>6844</v>
      </c>
      <c r="E223" s="1" t="s">
        <v>1688</v>
      </c>
      <c r="F223" t="s">
        <v>718</v>
      </c>
      <c r="G223" t="s">
        <v>719</v>
      </c>
      <c r="H223">
        <v>31706</v>
      </c>
      <c r="I223">
        <v>41747444</v>
      </c>
      <c r="L223" s="2">
        <v>42207</v>
      </c>
      <c r="M223" s="3">
        <f t="shared" si="3"/>
        <v>2015</v>
      </c>
      <c r="N223" s="2">
        <v>43105</v>
      </c>
      <c r="O223">
        <v>234</v>
      </c>
      <c r="P223" s="6">
        <v>1548</v>
      </c>
      <c r="Q223">
        <v>774</v>
      </c>
      <c r="R223">
        <v>309.60000000000002</v>
      </c>
      <c r="S223">
        <v>154</v>
      </c>
      <c r="T223" s="6">
        <v>786.24</v>
      </c>
      <c r="U223" t="s">
        <v>92</v>
      </c>
      <c r="V223" t="s">
        <v>1686</v>
      </c>
      <c r="W223" t="s">
        <v>1678</v>
      </c>
      <c r="X223" t="s">
        <v>1683</v>
      </c>
      <c r="Y223" t="s">
        <v>1679</v>
      </c>
      <c r="Z223" t="s">
        <v>1684</v>
      </c>
      <c r="AA223" t="s">
        <v>720</v>
      </c>
      <c r="AB223">
        <v>64</v>
      </c>
      <c r="AC223">
        <v>15</v>
      </c>
      <c r="AE223">
        <v>124</v>
      </c>
      <c r="AH223" t="s">
        <v>36</v>
      </c>
    </row>
    <row r="224" spans="1:34" x14ac:dyDescent="0.25">
      <c r="A224">
        <v>223</v>
      </c>
      <c r="B224" s="5">
        <v>385244934</v>
      </c>
      <c r="C224" s="5">
        <v>98476387596</v>
      </c>
      <c r="D224">
        <v>2470</v>
      </c>
      <c r="E224" s="1" t="s">
        <v>1688</v>
      </c>
      <c r="F224" t="s">
        <v>721</v>
      </c>
      <c r="G224" t="s">
        <v>722</v>
      </c>
      <c r="H224">
        <v>31833</v>
      </c>
      <c r="I224">
        <v>31717649</v>
      </c>
      <c r="L224" s="2">
        <v>38439</v>
      </c>
      <c r="M224" s="3">
        <f t="shared" si="3"/>
        <v>2005</v>
      </c>
      <c r="N224" s="2" t="s">
        <v>28</v>
      </c>
      <c r="O224">
        <v>223</v>
      </c>
      <c r="P224" s="6">
        <v>12984</v>
      </c>
      <c r="Q224">
        <v>6492</v>
      </c>
      <c r="R224">
        <v>2596.8000000000002</v>
      </c>
      <c r="S224">
        <v>286</v>
      </c>
      <c r="T224" s="6">
        <v>749.28000000000009</v>
      </c>
      <c r="U224" t="s">
        <v>140</v>
      </c>
      <c r="V224" t="s">
        <v>1682</v>
      </c>
      <c r="W224" t="s">
        <v>1678</v>
      </c>
      <c r="X224" t="s">
        <v>1683</v>
      </c>
      <c r="Y224" t="s">
        <v>1679</v>
      </c>
      <c r="Z224" t="s">
        <v>1684</v>
      </c>
      <c r="AA224" t="s">
        <v>723</v>
      </c>
      <c r="AB224">
        <v>111</v>
      </c>
      <c r="AC224">
        <v>29</v>
      </c>
      <c r="AE224">
        <v>171</v>
      </c>
      <c r="AH224" t="s">
        <v>36</v>
      </c>
    </row>
    <row r="225" spans="1:34" x14ac:dyDescent="0.25">
      <c r="A225">
        <v>224</v>
      </c>
      <c r="B225" s="5">
        <v>472782524</v>
      </c>
      <c r="C225" s="5">
        <v>22750607710</v>
      </c>
      <c r="D225">
        <v>3076</v>
      </c>
      <c r="E225" s="1" t="s">
        <v>1689</v>
      </c>
      <c r="F225" t="s">
        <v>724</v>
      </c>
      <c r="G225" t="s">
        <v>725</v>
      </c>
      <c r="H225">
        <v>35992</v>
      </c>
      <c r="I225">
        <v>44467875</v>
      </c>
      <c r="L225" s="2">
        <v>42562</v>
      </c>
      <c r="M225" s="3">
        <f t="shared" si="3"/>
        <v>2016</v>
      </c>
      <c r="N225" s="2" t="s">
        <v>28</v>
      </c>
      <c r="O225">
        <v>200</v>
      </c>
      <c r="P225" s="6">
        <v>23845</v>
      </c>
      <c r="Q225">
        <v>11922.5</v>
      </c>
      <c r="R225">
        <v>4769</v>
      </c>
      <c r="S225">
        <v>220</v>
      </c>
      <c r="T225" s="6">
        <v>672</v>
      </c>
      <c r="U225" t="s">
        <v>96</v>
      </c>
      <c r="V225" t="s">
        <v>1686</v>
      </c>
      <c r="W225" t="s">
        <v>1687</v>
      </c>
      <c r="X225" t="s">
        <v>1683</v>
      </c>
      <c r="Y225" t="s">
        <v>1679</v>
      </c>
      <c r="Z225" t="s">
        <v>1684</v>
      </c>
      <c r="AA225" t="s">
        <v>726</v>
      </c>
      <c r="AB225">
        <v>31</v>
      </c>
      <c r="AC225">
        <v>57</v>
      </c>
      <c r="AE225">
        <v>179</v>
      </c>
      <c r="AH225" t="s">
        <v>98</v>
      </c>
    </row>
    <row r="226" spans="1:34" x14ac:dyDescent="0.25">
      <c r="A226">
        <v>225</v>
      </c>
      <c r="B226" s="5">
        <v>984733259</v>
      </c>
      <c r="C226" s="5">
        <v>17869640397</v>
      </c>
      <c r="D226">
        <v>5324</v>
      </c>
      <c r="E226" s="1" t="s">
        <v>1689</v>
      </c>
      <c r="F226" t="s">
        <v>727</v>
      </c>
      <c r="G226" t="s">
        <v>728</v>
      </c>
      <c r="H226">
        <v>34983</v>
      </c>
      <c r="I226">
        <v>22254032</v>
      </c>
      <c r="L226" s="2">
        <v>41553</v>
      </c>
      <c r="M226" s="3">
        <f t="shared" si="3"/>
        <v>2013</v>
      </c>
      <c r="N226" s="2" t="s">
        <v>28</v>
      </c>
      <c r="O226">
        <v>243</v>
      </c>
      <c r="P226" s="6">
        <v>20662</v>
      </c>
      <c r="Q226">
        <v>10331</v>
      </c>
      <c r="R226">
        <v>4132.4000000000005</v>
      </c>
      <c r="S226">
        <v>220</v>
      </c>
      <c r="T226" s="6">
        <v>816.48</v>
      </c>
      <c r="U226" t="s">
        <v>55</v>
      </c>
      <c r="V226" t="s">
        <v>1673</v>
      </c>
      <c r="W226" t="s">
        <v>1685</v>
      </c>
      <c r="X226" t="s">
        <v>1675</v>
      </c>
      <c r="Y226" t="s">
        <v>61</v>
      </c>
      <c r="Z226" t="s">
        <v>1676</v>
      </c>
      <c r="AA226" t="s">
        <v>729</v>
      </c>
      <c r="AB226">
        <v>119</v>
      </c>
      <c r="AC226">
        <v>52</v>
      </c>
      <c r="AE226">
        <v>61</v>
      </c>
      <c r="AH226" t="s">
        <v>57</v>
      </c>
    </row>
    <row r="227" spans="1:34" x14ac:dyDescent="0.25">
      <c r="A227">
        <v>226</v>
      </c>
      <c r="B227" s="5">
        <v>398328205</v>
      </c>
      <c r="C227" s="5">
        <v>78130347029</v>
      </c>
      <c r="D227">
        <v>3592</v>
      </c>
      <c r="E227" s="1" t="s">
        <v>1689</v>
      </c>
      <c r="F227" t="s">
        <v>730</v>
      </c>
      <c r="G227" t="s">
        <v>731</v>
      </c>
      <c r="H227">
        <v>27995</v>
      </c>
      <c r="I227">
        <v>34741200</v>
      </c>
      <c r="L227" s="2">
        <v>37739</v>
      </c>
      <c r="M227" s="3">
        <f t="shared" si="3"/>
        <v>2003</v>
      </c>
      <c r="N227" s="2" t="s">
        <v>28</v>
      </c>
      <c r="O227">
        <v>166</v>
      </c>
      <c r="P227" s="6">
        <v>2351</v>
      </c>
      <c r="Q227">
        <v>1175.5</v>
      </c>
      <c r="R227">
        <v>470.20000000000005</v>
      </c>
      <c r="S227">
        <v>242</v>
      </c>
      <c r="T227" s="6">
        <v>557.76</v>
      </c>
      <c r="U227" t="s">
        <v>68</v>
      </c>
      <c r="V227" t="s">
        <v>1686</v>
      </c>
      <c r="W227" t="s">
        <v>1681</v>
      </c>
      <c r="X227" t="s">
        <v>1683</v>
      </c>
      <c r="Y227" t="s">
        <v>1679</v>
      </c>
      <c r="Z227" t="s">
        <v>1684</v>
      </c>
      <c r="AA227" t="s">
        <v>732</v>
      </c>
      <c r="AB227">
        <v>26</v>
      </c>
      <c r="AC227">
        <v>8</v>
      </c>
      <c r="AE227">
        <v>34</v>
      </c>
      <c r="AH227" t="s">
        <v>41</v>
      </c>
    </row>
    <row r="228" spans="1:34" x14ac:dyDescent="0.25">
      <c r="A228">
        <v>227</v>
      </c>
      <c r="B228" s="5">
        <v>607326291</v>
      </c>
      <c r="C228" s="3">
        <v>9229411485</v>
      </c>
      <c r="D228">
        <v>1861</v>
      </c>
      <c r="E228" s="1" t="s">
        <v>1688</v>
      </c>
      <c r="F228" t="s">
        <v>733</v>
      </c>
      <c r="G228" t="s">
        <v>734</v>
      </c>
      <c r="H228">
        <v>26868</v>
      </c>
      <c r="I228">
        <v>32195895</v>
      </c>
      <c r="L228" s="2">
        <v>41233</v>
      </c>
      <c r="M228" s="3">
        <f t="shared" si="3"/>
        <v>2012</v>
      </c>
      <c r="N228" s="2" t="s">
        <v>28</v>
      </c>
      <c r="O228">
        <v>230</v>
      </c>
      <c r="P228" s="6">
        <v>22462</v>
      </c>
      <c r="Q228">
        <v>11231</v>
      </c>
      <c r="R228">
        <v>4492.4000000000005</v>
      </c>
      <c r="S228">
        <v>176</v>
      </c>
      <c r="T228" s="6">
        <v>772.80000000000007</v>
      </c>
      <c r="U228" t="s">
        <v>168</v>
      </c>
      <c r="V228" t="s">
        <v>1677</v>
      </c>
      <c r="W228" t="s">
        <v>1687</v>
      </c>
      <c r="X228" t="s">
        <v>1675</v>
      </c>
      <c r="Y228" t="s">
        <v>1679</v>
      </c>
      <c r="Z228" t="s">
        <v>1680</v>
      </c>
      <c r="AA228" t="s">
        <v>735</v>
      </c>
      <c r="AB228">
        <v>101</v>
      </c>
      <c r="AC228">
        <v>39</v>
      </c>
      <c r="AE228">
        <v>181</v>
      </c>
      <c r="AH228" t="s">
        <v>98</v>
      </c>
    </row>
    <row r="229" spans="1:34" x14ac:dyDescent="0.25">
      <c r="A229">
        <v>228</v>
      </c>
      <c r="B229" s="5">
        <v>610389191</v>
      </c>
      <c r="C229" s="5">
        <v>77896177493</v>
      </c>
      <c r="D229">
        <v>3768</v>
      </c>
      <c r="E229" s="1" t="s">
        <v>1689</v>
      </c>
      <c r="F229" t="s">
        <v>736</v>
      </c>
      <c r="G229" t="s">
        <v>737</v>
      </c>
      <c r="H229">
        <v>34960</v>
      </c>
      <c r="I229">
        <v>44436582</v>
      </c>
      <c r="L229" s="2">
        <v>41530</v>
      </c>
      <c r="M229" s="3">
        <f t="shared" si="3"/>
        <v>2013</v>
      </c>
      <c r="N229" s="2">
        <v>43105</v>
      </c>
      <c r="O229">
        <v>217</v>
      </c>
      <c r="P229" s="6">
        <v>5070</v>
      </c>
      <c r="Q229">
        <v>2535</v>
      </c>
      <c r="R229">
        <v>1014</v>
      </c>
      <c r="S229">
        <v>242</v>
      </c>
      <c r="T229" s="6">
        <v>729.12</v>
      </c>
      <c r="U229" t="s">
        <v>82</v>
      </c>
      <c r="V229" t="s">
        <v>1677</v>
      </c>
      <c r="W229" t="s">
        <v>1685</v>
      </c>
      <c r="X229" t="s">
        <v>1675</v>
      </c>
      <c r="Y229" t="s">
        <v>1679</v>
      </c>
      <c r="Z229" t="s">
        <v>1680</v>
      </c>
      <c r="AA229" t="s">
        <v>738</v>
      </c>
      <c r="AB229">
        <v>61</v>
      </c>
      <c r="AC229">
        <v>51</v>
      </c>
      <c r="AE229">
        <v>74</v>
      </c>
      <c r="AH229" t="s">
        <v>57</v>
      </c>
    </row>
    <row r="230" spans="1:34" x14ac:dyDescent="0.25">
      <c r="A230">
        <v>229</v>
      </c>
      <c r="B230" s="5">
        <v>130000942</v>
      </c>
      <c r="C230" s="5">
        <v>26027398376</v>
      </c>
      <c r="D230">
        <v>5063</v>
      </c>
      <c r="E230" s="1" t="s">
        <v>1688</v>
      </c>
      <c r="F230" t="s">
        <v>739</v>
      </c>
      <c r="G230" t="s">
        <v>740</v>
      </c>
      <c r="H230">
        <v>32153</v>
      </c>
      <c r="I230">
        <v>28964228</v>
      </c>
      <c r="L230" s="2">
        <v>38723</v>
      </c>
      <c r="M230" s="3">
        <f t="shared" si="3"/>
        <v>2006</v>
      </c>
      <c r="N230" s="2" t="s">
        <v>28</v>
      </c>
      <c r="O230">
        <v>217</v>
      </c>
      <c r="P230" s="6">
        <v>23248</v>
      </c>
      <c r="Q230">
        <v>11624</v>
      </c>
      <c r="R230">
        <v>4649.6000000000004</v>
      </c>
      <c r="S230">
        <v>286</v>
      </c>
      <c r="T230" s="6">
        <v>729.12</v>
      </c>
      <c r="U230" t="s">
        <v>92</v>
      </c>
      <c r="V230" t="s">
        <v>1686</v>
      </c>
      <c r="W230" t="s">
        <v>1678</v>
      </c>
      <c r="X230" t="s">
        <v>1683</v>
      </c>
      <c r="Y230" t="s">
        <v>1679</v>
      </c>
      <c r="Z230" t="s">
        <v>1684</v>
      </c>
      <c r="AA230" t="s">
        <v>741</v>
      </c>
      <c r="AB230">
        <v>84</v>
      </c>
      <c r="AC230">
        <v>2</v>
      </c>
      <c r="AE230">
        <v>70</v>
      </c>
      <c r="AH230" t="s">
        <v>36</v>
      </c>
    </row>
    <row r="231" spans="1:34" x14ac:dyDescent="0.25">
      <c r="A231">
        <v>230</v>
      </c>
      <c r="B231" s="5">
        <v>725666141</v>
      </c>
      <c r="C231" s="5">
        <v>94362680879</v>
      </c>
      <c r="D231">
        <v>2424</v>
      </c>
      <c r="E231" s="1" t="s">
        <v>1689</v>
      </c>
      <c r="F231" t="s">
        <v>742</v>
      </c>
      <c r="G231" t="s">
        <v>743</v>
      </c>
      <c r="H231">
        <v>25670</v>
      </c>
      <c r="I231">
        <v>33629449</v>
      </c>
      <c r="L231" s="2">
        <v>33842</v>
      </c>
      <c r="M231" s="3">
        <f t="shared" si="3"/>
        <v>1992</v>
      </c>
      <c r="N231" s="2" t="s">
        <v>28</v>
      </c>
      <c r="O231">
        <v>186</v>
      </c>
      <c r="P231" s="6">
        <v>15589</v>
      </c>
      <c r="Q231">
        <v>7794.5</v>
      </c>
      <c r="R231">
        <v>3117.8</v>
      </c>
      <c r="S231">
        <v>286</v>
      </c>
      <c r="T231" s="6">
        <v>624.96</v>
      </c>
      <c r="U231" t="s">
        <v>164</v>
      </c>
      <c r="V231" t="s">
        <v>1677</v>
      </c>
      <c r="W231" t="s">
        <v>1674</v>
      </c>
      <c r="X231" t="s">
        <v>1675</v>
      </c>
      <c r="Y231" t="s">
        <v>1679</v>
      </c>
      <c r="Z231" t="s">
        <v>1680</v>
      </c>
      <c r="AA231" t="s">
        <v>744</v>
      </c>
      <c r="AB231">
        <v>54</v>
      </c>
      <c r="AC231">
        <v>42</v>
      </c>
      <c r="AE231">
        <v>139</v>
      </c>
      <c r="AH231" t="s">
        <v>31</v>
      </c>
    </row>
    <row r="232" spans="1:34" x14ac:dyDescent="0.25">
      <c r="A232">
        <v>231</v>
      </c>
      <c r="B232" s="5">
        <v>418063615</v>
      </c>
      <c r="C232" s="3">
        <v>4552100166</v>
      </c>
      <c r="D232">
        <v>2386</v>
      </c>
      <c r="E232" s="1" t="s">
        <v>1688</v>
      </c>
      <c r="F232" t="s">
        <v>745</v>
      </c>
      <c r="G232" t="s">
        <v>746</v>
      </c>
      <c r="H232">
        <v>28540</v>
      </c>
      <c r="I232">
        <v>35408848</v>
      </c>
      <c r="L232" s="2">
        <v>42297</v>
      </c>
      <c r="M232" s="3">
        <f t="shared" si="3"/>
        <v>2015</v>
      </c>
      <c r="N232" s="2" t="s">
        <v>28</v>
      </c>
      <c r="O232">
        <v>163</v>
      </c>
      <c r="P232" s="6">
        <v>16869</v>
      </c>
      <c r="Q232">
        <v>8434.5</v>
      </c>
      <c r="R232">
        <v>3373.8</v>
      </c>
      <c r="S232">
        <v>154</v>
      </c>
      <c r="T232" s="6">
        <v>547.67999999999995</v>
      </c>
      <c r="U232" t="s">
        <v>747</v>
      </c>
      <c r="V232" t="s">
        <v>1673</v>
      </c>
      <c r="W232" t="s">
        <v>1678</v>
      </c>
      <c r="X232" t="s">
        <v>1675</v>
      </c>
      <c r="Y232" t="s">
        <v>61</v>
      </c>
      <c r="Z232" t="s">
        <v>1676</v>
      </c>
      <c r="AA232" t="s">
        <v>748</v>
      </c>
      <c r="AB232">
        <v>34</v>
      </c>
      <c r="AC232">
        <v>26</v>
      </c>
      <c r="AE232">
        <v>25</v>
      </c>
      <c r="AH232" t="s">
        <v>36</v>
      </c>
    </row>
    <row r="233" spans="1:34" x14ac:dyDescent="0.25">
      <c r="A233">
        <v>232</v>
      </c>
      <c r="B233" s="5">
        <v>921624055</v>
      </c>
      <c r="C233" s="5">
        <v>28054605638</v>
      </c>
      <c r="D233">
        <v>6993</v>
      </c>
      <c r="E233" s="1" t="s">
        <v>1689</v>
      </c>
      <c r="F233" t="s">
        <v>749</v>
      </c>
      <c r="G233" t="s">
        <v>750</v>
      </c>
      <c r="H233">
        <v>28775</v>
      </c>
      <c r="I233">
        <v>27293893</v>
      </c>
      <c r="L233" s="2">
        <v>42269</v>
      </c>
      <c r="M233" s="3">
        <f t="shared" si="3"/>
        <v>2015</v>
      </c>
      <c r="N233" s="2">
        <v>43105</v>
      </c>
      <c r="O233">
        <v>152</v>
      </c>
      <c r="P233" s="6">
        <v>22286</v>
      </c>
      <c r="Q233">
        <v>11143</v>
      </c>
      <c r="R233">
        <v>4457.2</v>
      </c>
      <c r="S233">
        <v>154</v>
      </c>
      <c r="T233" s="6">
        <v>510.71999999999997</v>
      </c>
      <c r="U233" t="s">
        <v>64</v>
      </c>
      <c r="V233" t="s">
        <v>1682</v>
      </c>
      <c r="W233" t="s">
        <v>1685</v>
      </c>
      <c r="X233" t="s">
        <v>1683</v>
      </c>
      <c r="Y233" t="s">
        <v>1679</v>
      </c>
      <c r="Z233" t="s">
        <v>1684</v>
      </c>
      <c r="AA233" t="s">
        <v>751</v>
      </c>
      <c r="AB233">
        <v>105</v>
      </c>
      <c r="AC233">
        <v>26</v>
      </c>
      <c r="AE233">
        <v>15</v>
      </c>
      <c r="AH233" t="s">
        <v>57</v>
      </c>
    </row>
    <row r="234" spans="1:34" x14ac:dyDescent="0.25">
      <c r="A234">
        <v>233</v>
      </c>
      <c r="B234" s="5">
        <v>252585246</v>
      </c>
      <c r="C234" s="5">
        <v>81032809164</v>
      </c>
      <c r="D234">
        <v>6776</v>
      </c>
      <c r="E234" s="1" t="s">
        <v>1689</v>
      </c>
      <c r="F234" t="s">
        <v>752</v>
      </c>
      <c r="G234" t="s">
        <v>753</v>
      </c>
      <c r="H234">
        <v>26309</v>
      </c>
      <c r="I234">
        <v>24097080</v>
      </c>
      <c r="L234" s="2">
        <v>39827</v>
      </c>
      <c r="M234" s="3">
        <f t="shared" si="3"/>
        <v>2009</v>
      </c>
      <c r="N234" s="2" t="s">
        <v>28</v>
      </c>
      <c r="O234">
        <v>220</v>
      </c>
      <c r="P234" s="6">
        <v>11384</v>
      </c>
      <c r="Q234">
        <v>5692</v>
      </c>
      <c r="R234">
        <v>2276.8000000000002</v>
      </c>
      <c r="S234">
        <v>198</v>
      </c>
      <c r="T234" s="6">
        <v>739.19999999999993</v>
      </c>
      <c r="U234" t="s">
        <v>51</v>
      </c>
      <c r="V234" t="s">
        <v>1682</v>
      </c>
      <c r="W234" t="s">
        <v>1674</v>
      </c>
      <c r="X234" t="s">
        <v>1683</v>
      </c>
      <c r="Y234" t="s">
        <v>1679</v>
      </c>
      <c r="Z234" t="s">
        <v>1684</v>
      </c>
      <c r="AA234" t="s">
        <v>754</v>
      </c>
      <c r="AB234">
        <v>86</v>
      </c>
      <c r="AC234">
        <v>21</v>
      </c>
      <c r="AE234">
        <v>113</v>
      </c>
      <c r="AH234" t="s">
        <v>31</v>
      </c>
    </row>
    <row r="235" spans="1:34" x14ac:dyDescent="0.25">
      <c r="A235">
        <v>234</v>
      </c>
      <c r="B235" s="5">
        <v>646478878</v>
      </c>
      <c r="C235" s="5">
        <v>52866028094</v>
      </c>
      <c r="D235">
        <v>4311</v>
      </c>
      <c r="E235" s="1" t="s">
        <v>1688</v>
      </c>
      <c r="F235" t="s">
        <v>755</v>
      </c>
      <c r="G235" t="s">
        <v>756</v>
      </c>
      <c r="H235">
        <v>35012</v>
      </c>
      <c r="I235">
        <v>31571800</v>
      </c>
      <c r="L235" s="2">
        <v>41582</v>
      </c>
      <c r="M235" s="3">
        <f t="shared" si="3"/>
        <v>2013</v>
      </c>
      <c r="N235" s="2" t="s">
        <v>28</v>
      </c>
      <c r="O235">
        <v>155</v>
      </c>
      <c r="P235" s="6">
        <v>20411</v>
      </c>
      <c r="Q235">
        <v>10205.5</v>
      </c>
      <c r="R235">
        <v>4082.2000000000003</v>
      </c>
      <c r="S235">
        <v>264</v>
      </c>
      <c r="T235" s="6">
        <v>520.80000000000007</v>
      </c>
      <c r="U235" t="s">
        <v>64</v>
      </c>
      <c r="V235" t="s">
        <v>1682</v>
      </c>
      <c r="W235" t="s">
        <v>1685</v>
      </c>
      <c r="X235" t="s">
        <v>1683</v>
      </c>
      <c r="Y235" t="s">
        <v>1679</v>
      </c>
      <c r="Z235" t="s">
        <v>1684</v>
      </c>
      <c r="AA235" t="s">
        <v>757</v>
      </c>
      <c r="AB235">
        <v>150</v>
      </c>
      <c r="AC235">
        <v>16</v>
      </c>
      <c r="AE235">
        <v>36</v>
      </c>
      <c r="AH235" t="s">
        <v>57</v>
      </c>
    </row>
    <row r="236" spans="1:34" x14ac:dyDescent="0.25">
      <c r="A236">
        <v>235</v>
      </c>
      <c r="B236" s="5">
        <v>582906251</v>
      </c>
      <c r="C236" s="5">
        <v>66914201307</v>
      </c>
      <c r="D236">
        <v>6940</v>
      </c>
      <c r="E236" s="1" t="s">
        <v>1689</v>
      </c>
      <c r="F236" t="s">
        <v>758</v>
      </c>
      <c r="G236" t="s">
        <v>759</v>
      </c>
      <c r="H236">
        <v>34331</v>
      </c>
      <c r="I236">
        <v>26310355</v>
      </c>
      <c r="L236" s="2">
        <v>40901</v>
      </c>
      <c r="M236" s="3">
        <f t="shared" si="3"/>
        <v>2011</v>
      </c>
      <c r="N236" s="2">
        <v>43105</v>
      </c>
      <c r="O236">
        <v>183</v>
      </c>
      <c r="P236" s="6">
        <v>8810</v>
      </c>
      <c r="Q236">
        <v>4405</v>
      </c>
      <c r="R236">
        <v>1762</v>
      </c>
      <c r="S236">
        <v>198</v>
      </c>
      <c r="T236" s="6">
        <v>614.88</v>
      </c>
      <c r="U236" t="s">
        <v>164</v>
      </c>
      <c r="V236" t="s">
        <v>1677</v>
      </c>
      <c r="W236" t="s">
        <v>1674</v>
      </c>
      <c r="X236" t="s">
        <v>1675</v>
      </c>
      <c r="Y236" t="s">
        <v>1679</v>
      </c>
      <c r="Z236" t="s">
        <v>1680</v>
      </c>
      <c r="AA236" t="s">
        <v>760</v>
      </c>
      <c r="AB236">
        <v>127</v>
      </c>
      <c r="AC236">
        <v>52</v>
      </c>
      <c r="AE236">
        <v>21</v>
      </c>
      <c r="AH236" t="s">
        <v>31</v>
      </c>
    </row>
    <row r="237" spans="1:34" x14ac:dyDescent="0.25">
      <c r="A237">
        <v>236</v>
      </c>
      <c r="B237" s="5">
        <v>316788080</v>
      </c>
      <c r="C237" s="5">
        <v>24164901253</v>
      </c>
      <c r="D237">
        <v>1482</v>
      </c>
      <c r="E237" s="1" t="s">
        <v>1689</v>
      </c>
      <c r="F237" t="s">
        <v>761</v>
      </c>
      <c r="G237" t="s">
        <v>762</v>
      </c>
      <c r="H237">
        <v>26337</v>
      </c>
      <c r="I237">
        <v>30246676</v>
      </c>
      <c r="L237" s="2">
        <v>35229</v>
      </c>
      <c r="M237" s="3">
        <f t="shared" si="3"/>
        <v>1996</v>
      </c>
      <c r="N237" s="2" t="s">
        <v>28</v>
      </c>
      <c r="O237">
        <v>150</v>
      </c>
      <c r="P237" s="6">
        <v>17871</v>
      </c>
      <c r="Q237">
        <v>8935.5</v>
      </c>
      <c r="R237">
        <v>3574.2000000000003</v>
      </c>
      <c r="S237">
        <v>154</v>
      </c>
      <c r="T237" s="6">
        <v>504</v>
      </c>
      <c r="U237" t="s">
        <v>78</v>
      </c>
      <c r="V237" t="s">
        <v>1680</v>
      </c>
      <c r="W237" t="s">
        <v>1678</v>
      </c>
      <c r="X237" t="s">
        <v>1675</v>
      </c>
      <c r="Y237" t="s">
        <v>61</v>
      </c>
      <c r="Z237" t="s">
        <v>1676</v>
      </c>
      <c r="AA237" t="s">
        <v>763</v>
      </c>
      <c r="AB237">
        <v>24</v>
      </c>
      <c r="AC237">
        <v>50</v>
      </c>
      <c r="AE237">
        <v>60</v>
      </c>
      <c r="AH237" t="s">
        <v>36</v>
      </c>
    </row>
    <row r="238" spans="1:34" x14ac:dyDescent="0.25">
      <c r="A238">
        <v>237</v>
      </c>
      <c r="B238" s="5">
        <v>871167970</v>
      </c>
      <c r="C238" s="5">
        <v>23864376350</v>
      </c>
      <c r="D238">
        <v>5040</v>
      </c>
      <c r="E238" s="1" t="s">
        <v>1688</v>
      </c>
      <c r="F238" t="s">
        <v>764</v>
      </c>
      <c r="G238" t="s">
        <v>765</v>
      </c>
      <c r="H238">
        <v>29084</v>
      </c>
      <c r="I238">
        <v>27492861</v>
      </c>
      <c r="L238" s="2">
        <v>41843</v>
      </c>
      <c r="M238" s="3">
        <f t="shared" si="3"/>
        <v>2014</v>
      </c>
      <c r="N238" s="2" t="s">
        <v>28</v>
      </c>
      <c r="O238">
        <v>232</v>
      </c>
      <c r="P238" s="6">
        <v>20723</v>
      </c>
      <c r="Q238">
        <v>10361.5</v>
      </c>
      <c r="R238">
        <v>4144.6000000000004</v>
      </c>
      <c r="S238">
        <v>286</v>
      </c>
      <c r="T238" s="6">
        <v>779.52</v>
      </c>
      <c r="U238" t="s">
        <v>39</v>
      </c>
      <c r="V238" t="s">
        <v>1677</v>
      </c>
      <c r="W238" t="s">
        <v>1681</v>
      </c>
      <c r="X238" t="s">
        <v>1675</v>
      </c>
      <c r="Y238" t="s">
        <v>1679</v>
      </c>
      <c r="Z238" t="s">
        <v>1680</v>
      </c>
      <c r="AA238" t="s">
        <v>766</v>
      </c>
      <c r="AB238">
        <v>148</v>
      </c>
      <c r="AC238">
        <v>44</v>
      </c>
      <c r="AE238">
        <v>45</v>
      </c>
      <c r="AH238" t="s">
        <v>41</v>
      </c>
    </row>
    <row r="239" spans="1:34" x14ac:dyDescent="0.25">
      <c r="A239">
        <v>238</v>
      </c>
      <c r="B239" s="5">
        <v>538427479</v>
      </c>
      <c r="C239" s="5">
        <v>34124760873</v>
      </c>
      <c r="D239">
        <v>7799</v>
      </c>
      <c r="E239" s="1" t="s">
        <v>1688</v>
      </c>
      <c r="F239" t="s">
        <v>767</v>
      </c>
      <c r="G239" t="s">
        <v>768</v>
      </c>
      <c r="H239">
        <v>31966</v>
      </c>
      <c r="I239">
        <v>47713889</v>
      </c>
      <c r="L239" s="2">
        <v>42870</v>
      </c>
      <c r="M239" s="3">
        <f t="shared" si="3"/>
        <v>2017</v>
      </c>
      <c r="N239" s="2">
        <v>43105</v>
      </c>
      <c r="O239">
        <v>213</v>
      </c>
      <c r="P239" s="6">
        <v>6827</v>
      </c>
      <c r="Q239">
        <v>3413.5</v>
      </c>
      <c r="R239">
        <v>1365.4</v>
      </c>
      <c r="S239">
        <v>308</v>
      </c>
      <c r="T239" s="6">
        <v>715.68</v>
      </c>
      <c r="U239" t="s">
        <v>168</v>
      </c>
      <c r="V239" t="s">
        <v>1677</v>
      </c>
      <c r="W239" t="s">
        <v>1687</v>
      </c>
      <c r="X239" t="s">
        <v>1675</v>
      </c>
      <c r="Y239" t="s">
        <v>1679</v>
      </c>
      <c r="Z239" t="s">
        <v>1680</v>
      </c>
      <c r="AA239" t="s">
        <v>769</v>
      </c>
      <c r="AB239">
        <v>53</v>
      </c>
      <c r="AC239">
        <v>46</v>
      </c>
      <c r="AE239">
        <v>2</v>
      </c>
      <c r="AH239" t="s">
        <v>98</v>
      </c>
    </row>
    <row r="240" spans="1:34" x14ac:dyDescent="0.25">
      <c r="A240">
        <v>239</v>
      </c>
      <c r="B240" s="5">
        <v>178981169</v>
      </c>
      <c r="C240" s="5">
        <v>63773722554</v>
      </c>
      <c r="D240">
        <v>3623</v>
      </c>
      <c r="E240" s="1" t="s">
        <v>1688</v>
      </c>
      <c r="F240" t="s">
        <v>770</v>
      </c>
      <c r="G240" t="s">
        <v>771</v>
      </c>
      <c r="H240">
        <v>32284</v>
      </c>
      <c r="I240">
        <v>48644823</v>
      </c>
      <c r="L240" s="2">
        <v>38854</v>
      </c>
      <c r="M240" s="3">
        <f t="shared" si="3"/>
        <v>2006</v>
      </c>
      <c r="N240" s="2" t="s">
        <v>28</v>
      </c>
      <c r="O240">
        <v>226</v>
      </c>
      <c r="P240" s="6">
        <v>3314</v>
      </c>
      <c r="Q240">
        <v>1657</v>
      </c>
      <c r="R240">
        <v>662.80000000000007</v>
      </c>
      <c r="S240">
        <v>242</v>
      </c>
      <c r="T240" s="6">
        <v>759.36</v>
      </c>
      <c r="U240" t="s">
        <v>82</v>
      </c>
      <c r="V240" t="s">
        <v>1677</v>
      </c>
      <c r="W240" t="s">
        <v>1685</v>
      </c>
      <c r="X240" t="s">
        <v>1675</v>
      </c>
      <c r="Y240" t="s">
        <v>1679</v>
      </c>
      <c r="Z240" t="s">
        <v>1680</v>
      </c>
      <c r="AA240" t="s">
        <v>772</v>
      </c>
      <c r="AB240">
        <v>120</v>
      </c>
      <c r="AC240">
        <v>34</v>
      </c>
      <c r="AE240">
        <v>22</v>
      </c>
      <c r="AH240" t="s">
        <v>57</v>
      </c>
    </row>
    <row r="241" spans="1:34" x14ac:dyDescent="0.25">
      <c r="A241">
        <v>240</v>
      </c>
      <c r="B241" s="5">
        <v>435983446</v>
      </c>
      <c r="C241" s="5">
        <v>54295209030</v>
      </c>
      <c r="D241">
        <v>6688</v>
      </c>
      <c r="E241" s="1" t="s">
        <v>1688</v>
      </c>
      <c r="F241" t="s">
        <v>773</v>
      </c>
      <c r="G241" t="s">
        <v>774</v>
      </c>
      <c r="H241">
        <v>33384</v>
      </c>
      <c r="I241">
        <v>21154117</v>
      </c>
      <c r="L241" s="2">
        <v>39954</v>
      </c>
      <c r="M241" s="3">
        <f t="shared" si="3"/>
        <v>2009</v>
      </c>
      <c r="N241" s="2">
        <v>43105</v>
      </c>
      <c r="O241">
        <v>196</v>
      </c>
      <c r="P241" s="6">
        <v>11321</v>
      </c>
      <c r="Q241">
        <v>5660.5</v>
      </c>
      <c r="R241">
        <v>2264.2000000000003</v>
      </c>
      <c r="S241">
        <v>176</v>
      </c>
      <c r="T241" s="6">
        <v>658.56</v>
      </c>
      <c r="U241" t="s">
        <v>51</v>
      </c>
      <c r="V241" t="s">
        <v>1682</v>
      </c>
      <c r="W241" t="s">
        <v>1674</v>
      </c>
      <c r="X241" t="s">
        <v>1683</v>
      </c>
      <c r="Y241" t="s">
        <v>1679</v>
      </c>
      <c r="Z241" t="s">
        <v>1684</v>
      </c>
      <c r="AA241" t="s">
        <v>775</v>
      </c>
      <c r="AB241">
        <v>141</v>
      </c>
      <c r="AC241">
        <v>51</v>
      </c>
      <c r="AE241">
        <v>168</v>
      </c>
      <c r="AH241" t="s">
        <v>31</v>
      </c>
    </row>
    <row r="242" spans="1:34" x14ac:dyDescent="0.25">
      <c r="A242">
        <v>241</v>
      </c>
      <c r="B242" s="5">
        <v>788952836</v>
      </c>
      <c r="C242" s="3">
        <v>6339514845</v>
      </c>
      <c r="D242">
        <v>4917</v>
      </c>
      <c r="E242" s="1" t="s">
        <v>1689</v>
      </c>
      <c r="F242" t="s">
        <v>776</v>
      </c>
      <c r="G242" t="s">
        <v>777</v>
      </c>
      <c r="H242">
        <v>33269</v>
      </c>
      <c r="I242">
        <v>45998524</v>
      </c>
      <c r="L242" s="2">
        <v>41963</v>
      </c>
      <c r="M242" s="3">
        <f t="shared" si="3"/>
        <v>2014</v>
      </c>
      <c r="N242" s="2" t="s">
        <v>28</v>
      </c>
      <c r="O242">
        <v>246</v>
      </c>
      <c r="P242" s="6">
        <v>15572</v>
      </c>
      <c r="Q242">
        <v>7786</v>
      </c>
      <c r="R242">
        <v>3114.4</v>
      </c>
      <c r="S242">
        <v>154</v>
      </c>
      <c r="T242" s="6">
        <v>826.56</v>
      </c>
      <c r="U242" t="s">
        <v>747</v>
      </c>
      <c r="V242" t="s">
        <v>1673</v>
      </c>
      <c r="W242" t="s">
        <v>1678</v>
      </c>
      <c r="X242" t="s">
        <v>1675</v>
      </c>
      <c r="Y242" t="s">
        <v>61</v>
      </c>
      <c r="Z242" t="s">
        <v>1676</v>
      </c>
      <c r="AA242" t="s">
        <v>778</v>
      </c>
      <c r="AB242">
        <v>52</v>
      </c>
      <c r="AC242">
        <v>51</v>
      </c>
      <c r="AE242">
        <v>102</v>
      </c>
      <c r="AH242" t="s">
        <v>36</v>
      </c>
    </row>
    <row r="243" spans="1:34" x14ac:dyDescent="0.25">
      <c r="A243">
        <v>242</v>
      </c>
      <c r="B243" s="5">
        <v>607552422</v>
      </c>
      <c r="C243" s="5">
        <v>65307089428</v>
      </c>
      <c r="D243">
        <v>6039</v>
      </c>
      <c r="E243" s="1" t="s">
        <v>1689</v>
      </c>
      <c r="F243" t="s">
        <v>779</v>
      </c>
      <c r="G243" t="s">
        <v>780</v>
      </c>
      <c r="H243">
        <v>36498</v>
      </c>
      <c r="I243">
        <v>24948027</v>
      </c>
      <c r="L243" s="2">
        <v>43068</v>
      </c>
      <c r="M243" s="3">
        <f t="shared" si="3"/>
        <v>2017</v>
      </c>
      <c r="N243" s="2" t="s">
        <v>28</v>
      </c>
      <c r="O243">
        <v>164</v>
      </c>
      <c r="P243" s="6">
        <v>19633</v>
      </c>
      <c r="Q243">
        <v>9816.5</v>
      </c>
      <c r="R243">
        <v>3926.6000000000004</v>
      </c>
      <c r="S243">
        <v>176</v>
      </c>
      <c r="T243" s="6">
        <v>551.04</v>
      </c>
      <c r="U243" t="s">
        <v>96</v>
      </c>
      <c r="V243" t="s">
        <v>1686</v>
      </c>
      <c r="W243" t="s">
        <v>1687</v>
      </c>
      <c r="X243" t="s">
        <v>1683</v>
      </c>
      <c r="Y243" t="s">
        <v>1679</v>
      </c>
      <c r="Z243" t="s">
        <v>1684</v>
      </c>
      <c r="AA243" t="s">
        <v>781</v>
      </c>
      <c r="AB243">
        <v>117</v>
      </c>
      <c r="AC243">
        <v>43</v>
      </c>
      <c r="AE243">
        <v>28</v>
      </c>
      <c r="AH243" t="s">
        <v>98</v>
      </c>
    </row>
    <row r="244" spans="1:34" x14ac:dyDescent="0.25">
      <c r="A244">
        <v>243</v>
      </c>
      <c r="B244" s="5">
        <v>881550456</v>
      </c>
      <c r="C244" s="3">
        <v>9423229923</v>
      </c>
      <c r="D244">
        <v>6151</v>
      </c>
      <c r="E244" s="1" t="s">
        <v>1688</v>
      </c>
      <c r="F244" t="s">
        <v>782</v>
      </c>
      <c r="G244" t="s">
        <v>783</v>
      </c>
      <c r="H244">
        <v>28316</v>
      </c>
      <c r="I244">
        <v>23394423</v>
      </c>
      <c r="L244" s="2">
        <v>42186</v>
      </c>
      <c r="M244" s="3">
        <f t="shared" si="3"/>
        <v>2015</v>
      </c>
      <c r="N244" s="2" t="s">
        <v>28</v>
      </c>
      <c r="O244">
        <v>173</v>
      </c>
      <c r="P244" s="6">
        <v>5929</v>
      </c>
      <c r="Q244">
        <v>2964.5</v>
      </c>
      <c r="R244">
        <v>1185.8</v>
      </c>
      <c r="S244">
        <v>242</v>
      </c>
      <c r="T244" s="6">
        <v>581.28000000000009</v>
      </c>
      <c r="U244" t="s">
        <v>82</v>
      </c>
      <c r="V244" t="s">
        <v>1677</v>
      </c>
      <c r="W244" t="s">
        <v>1685</v>
      </c>
      <c r="X244" t="s">
        <v>1675</v>
      </c>
      <c r="Y244" t="s">
        <v>1679</v>
      </c>
      <c r="Z244" t="s">
        <v>1680</v>
      </c>
      <c r="AA244" t="s">
        <v>784</v>
      </c>
      <c r="AB244">
        <v>43</v>
      </c>
      <c r="AC244">
        <v>24</v>
      </c>
      <c r="AE244">
        <v>15</v>
      </c>
      <c r="AH244" t="s">
        <v>57</v>
      </c>
    </row>
    <row r="245" spans="1:34" x14ac:dyDescent="0.25">
      <c r="A245">
        <v>244</v>
      </c>
      <c r="B245" s="5">
        <v>731743704</v>
      </c>
      <c r="C245" s="5">
        <v>77138440376</v>
      </c>
      <c r="D245">
        <v>2505</v>
      </c>
      <c r="E245" s="1" t="s">
        <v>1688</v>
      </c>
      <c r="F245" t="s">
        <v>785</v>
      </c>
      <c r="G245" t="s">
        <v>786</v>
      </c>
      <c r="H245">
        <v>28558</v>
      </c>
      <c r="I245">
        <v>33804710</v>
      </c>
      <c r="L245" s="2">
        <v>36305</v>
      </c>
      <c r="M245" s="3">
        <f t="shared" si="3"/>
        <v>1999</v>
      </c>
      <c r="N245" s="2" t="s">
        <v>28</v>
      </c>
      <c r="O245">
        <v>186</v>
      </c>
      <c r="P245" s="6">
        <v>1032</v>
      </c>
      <c r="Q245">
        <v>516</v>
      </c>
      <c r="R245">
        <v>206.4</v>
      </c>
      <c r="S245">
        <v>264</v>
      </c>
      <c r="T245" s="6">
        <v>624.96</v>
      </c>
      <c r="U245" t="s">
        <v>140</v>
      </c>
      <c r="V245" t="s">
        <v>1682</v>
      </c>
      <c r="W245" t="s">
        <v>1678</v>
      </c>
      <c r="X245" t="s">
        <v>1683</v>
      </c>
      <c r="Y245" t="s">
        <v>1679</v>
      </c>
      <c r="Z245" t="s">
        <v>1684</v>
      </c>
      <c r="AA245" t="s">
        <v>787</v>
      </c>
      <c r="AB245">
        <v>63</v>
      </c>
      <c r="AC245">
        <v>36</v>
      </c>
      <c r="AE245">
        <v>63</v>
      </c>
      <c r="AH245" t="s">
        <v>36</v>
      </c>
    </row>
    <row r="246" spans="1:34" x14ac:dyDescent="0.25">
      <c r="A246">
        <v>245</v>
      </c>
      <c r="B246" s="5">
        <v>465247813</v>
      </c>
      <c r="C246" s="5">
        <v>87695128391</v>
      </c>
      <c r="D246">
        <v>4929</v>
      </c>
      <c r="E246" s="1" t="s">
        <v>1689</v>
      </c>
      <c r="F246" t="s">
        <v>788</v>
      </c>
      <c r="G246" t="s">
        <v>789</v>
      </c>
      <c r="H246">
        <v>25596</v>
      </c>
      <c r="I246">
        <v>31002977</v>
      </c>
      <c r="L246" s="2">
        <v>34772</v>
      </c>
      <c r="M246" s="3">
        <f t="shared" si="3"/>
        <v>1995</v>
      </c>
      <c r="N246" s="2" t="s">
        <v>28</v>
      </c>
      <c r="O246">
        <v>179</v>
      </c>
      <c r="P246" s="6">
        <v>3960</v>
      </c>
      <c r="Q246">
        <v>1980</v>
      </c>
      <c r="R246">
        <v>792</v>
      </c>
      <c r="S246">
        <v>220</v>
      </c>
      <c r="T246" s="6">
        <v>601.44000000000005</v>
      </c>
      <c r="U246" t="s">
        <v>790</v>
      </c>
      <c r="V246" t="s">
        <v>1673</v>
      </c>
      <c r="W246" t="s">
        <v>1687</v>
      </c>
      <c r="X246" t="s">
        <v>1675</v>
      </c>
      <c r="Y246" t="s">
        <v>61</v>
      </c>
      <c r="Z246" t="s">
        <v>1676</v>
      </c>
      <c r="AA246" t="s">
        <v>791</v>
      </c>
      <c r="AB246">
        <v>131</v>
      </c>
      <c r="AC246">
        <v>52</v>
      </c>
      <c r="AE246">
        <v>18</v>
      </c>
      <c r="AH246" t="s">
        <v>98</v>
      </c>
    </row>
    <row r="247" spans="1:34" x14ac:dyDescent="0.25">
      <c r="A247">
        <v>246</v>
      </c>
      <c r="B247" s="5">
        <v>859264176</v>
      </c>
      <c r="C247" s="3">
        <v>4267620637</v>
      </c>
      <c r="D247">
        <v>4882</v>
      </c>
      <c r="E247" s="1" t="s">
        <v>1688</v>
      </c>
      <c r="F247" t="s">
        <v>792</v>
      </c>
      <c r="G247" t="s">
        <v>793</v>
      </c>
      <c r="H247">
        <v>26798</v>
      </c>
      <c r="I247">
        <v>47379836</v>
      </c>
      <c r="L247" s="2">
        <v>33825</v>
      </c>
      <c r="M247" s="3">
        <f t="shared" si="3"/>
        <v>1992</v>
      </c>
      <c r="N247" s="2" t="s">
        <v>28</v>
      </c>
      <c r="O247">
        <v>197</v>
      </c>
      <c r="P247" s="6">
        <v>4368</v>
      </c>
      <c r="Q247">
        <v>2184</v>
      </c>
      <c r="R247">
        <v>873.6</v>
      </c>
      <c r="S247">
        <v>242</v>
      </c>
      <c r="T247" s="6">
        <v>661.92000000000007</v>
      </c>
      <c r="U247" t="s">
        <v>164</v>
      </c>
      <c r="V247" t="s">
        <v>1677</v>
      </c>
      <c r="W247" t="s">
        <v>1674</v>
      </c>
      <c r="X247" t="s">
        <v>1675</v>
      </c>
      <c r="Y247" t="s">
        <v>1679</v>
      </c>
      <c r="Z247" t="s">
        <v>1680</v>
      </c>
      <c r="AA247" t="s">
        <v>794</v>
      </c>
      <c r="AB247">
        <v>121</v>
      </c>
      <c r="AC247">
        <v>53</v>
      </c>
      <c r="AE247">
        <v>189</v>
      </c>
      <c r="AH247" t="s">
        <v>31</v>
      </c>
    </row>
    <row r="248" spans="1:34" x14ac:dyDescent="0.25">
      <c r="A248">
        <v>247</v>
      </c>
      <c r="B248" s="5">
        <v>744215664</v>
      </c>
      <c r="C248" s="5">
        <v>70245813950</v>
      </c>
      <c r="D248">
        <v>6262</v>
      </c>
      <c r="E248" s="1" t="s">
        <v>1688</v>
      </c>
      <c r="F248" t="s">
        <v>795</v>
      </c>
      <c r="G248" t="s">
        <v>796</v>
      </c>
      <c r="H248">
        <v>27374</v>
      </c>
      <c r="I248">
        <v>46256189</v>
      </c>
      <c r="L248" s="2">
        <v>41119</v>
      </c>
      <c r="M248" s="3">
        <f t="shared" si="3"/>
        <v>2012</v>
      </c>
      <c r="N248" s="2">
        <v>43105</v>
      </c>
      <c r="O248">
        <v>214</v>
      </c>
      <c r="P248" s="6">
        <v>4192</v>
      </c>
      <c r="Q248">
        <v>2096</v>
      </c>
      <c r="R248">
        <v>838.40000000000009</v>
      </c>
      <c r="S248">
        <v>242</v>
      </c>
      <c r="T248" s="6">
        <v>719.04</v>
      </c>
      <c r="U248" t="s">
        <v>44</v>
      </c>
      <c r="V248" t="s">
        <v>1682</v>
      </c>
      <c r="W248" t="s">
        <v>1681</v>
      </c>
      <c r="X248" t="s">
        <v>1683</v>
      </c>
      <c r="Y248" t="s">
        <v>1679</v>
      </c>
      <c r="Z248" t="s">
        <v>1684</v>
      </c>
      <c r="AA248" t="s">
        <v>797</v>
      </c>
      <c r="AB248">
        <v>53</v>
      </c>
      <c r="AC248">
        <v>28</v>
      </c>
      <c r="AE248">
        <v>23</v>
      </c>
      <c r="AH248" t="s">
        <v>41</v>
      </c>
    </row>
    <row r="249" spans="1:34" x14ac:dyDescent="0.25">
      <c r="A249">
        <v>248</v>
      </c>
      <c r="B249" s="5">
        <v>684337006</v>
      </c>
      <c r="C249" s="5">
        <v>72860863554</v>
      </c>
      <c r="D249">
        <v>3496</v>
      </c>
      <c r="E249" s="1" t="s">
        <v>1689</v>
      </c>
      <c r="F249" t="s">
        <v>798</v>
      </c>
      <c r="G249" t="s">
        <v>799</v>
      </c>
      <c r="H249">
        <v>35593</v>
      </c>
      <c r="I249">
        <v>45007080</v>
      </c>
      <c r="L249" s="2">
        <v>42163</v>
      </c>
      <c r="M249" s="3">
        <f t="shared" si="3"/>
        <v>2015</v>
      </c>
      <c r="N249" s="2" t="s">
        <v>28</v>
      </c>
      <c r="O249">
        <v>186</v>
      </c>
      <c r="P249" s="6">
        <v>10707</v>
      </c>
      <c r="Q249">
        <v>5353.5</v>
      </c>
      <c r="R249">
        <v>2141.4</v>
      </c>
      <c r="S249">
        <v>198</v>
      </c>
      <c r="T249" s="6">
        <v>624.96</v>
      </c>
      <c r="U249" t="s">
        <v>64</v>
      </c>
      <c r="V249" t="s">
        <v>1682</v>
      </c>
      <c r="W249" t="s">
        <v>1685</v>
      </c>
      <c r="X249" t="s">
        <v>1683</v>
      </c>
      <c r="Y249" t="s">
        <v>1679</v>
      </c>
      <c r="Z249" t="s">
        <v>1684</v>
      </c>
      <c r="AA249" t="s">
        <v>800</v>
      </c>
      <c r="AB249">
        <v>45</v>
      </c>
      <c r="AC249">
        <v>56</v>
      </c>
      <c r="AE249">
        <v>198</v>
      </c>
      <c r="AH249" t="s">
        <v>57</v>
      </c>
    </row>
    <row r="250" spans="1:34" x14ac:dyDescent="0.25">
      <c r="A250">
        <v>249</v>
      </c>
      <c r="B250" s="5">
        <v>200311881</v>
      </c>
      <c r="C250" s="3">
        <v>7753712219</v>
      </c>
      <c r="D250">
        <v>6479</v>
      </c>
      <c r="E250" s="1" t="s">
        <v>1689</v>
      </c>
      <c r="F250" t="s">
        <v>801</v>
      </c>
      <c r="G250" t="s">
        <v>802</v>
      </c>
      <c r="H250">
        <v>26801</v>
      </c>
      <c r="I250">
        <v>36938343</v>
      </c>
      <c r="L250" s="2">
        <v>34956</v>
      </c>
      <c r="M250" s="3">
        <f t="shared" si="3"/>
        <v>1995</v>
      </c>
      <c r="N250" s="2" t="s">
        <v>28</v>
      </c>
      <c r="O250">
        <v>205</v>
      </c>
      <c r="P250" s="6">
        <v>5419</v>
      </c>
      <c r="Q250">
        <v>2709.5</v>
      </c>
      <c r="R250">
        <v>1083.8</v>
      </c>
      <c r="S250">
        <v>198</v>
      </c>
      <c r="T250" s="6">
        <v>688.80000000000007</v>
      </c>
      <c r="U250" t="s">
        <v>96</v>
      </c>
      <c r="V250" t="s">
        <v>1686</v>
      </c>
      <c r="W250" t="s">
        <v>1687</v>
      </c>
      <c r="X250" t="s">
        <v>1683</v>
      </c>
      <c r="Y250" t="s">
        <v>1679</v>
      </c>
      <c r="Z250" t="s">
        <v>1684</v>
      </c>
      <c r="AA250" t="s">
        <v>803</v>
      </c>
      <c r="AB250">
        <v>87</v>
      </c>
      <c r="AC250">
        <v>34</v>
      </c>
      <c r="AE250">
        <v>52</v>
      </c>
      <c r="AH250" t="s">
        <v>98</v>
      </c>
    </row>
    <row r="251" spans="1:34" x14ac:dyDescent="0.25">
      <c r="A251">
        <v>250</v>
      </c>
      <c r="B251" s="5">
        <v>762646893</v>
      </c>
      <c r="C251" s="5">
        <v>99592686753</v>
      </c>
      <c r="D251">
        <v>1454</v>
      </c>
      <c r="E251" s="1" t="s">
        <v>1689</v>
      </c>
      <c r="F251" t="s">
        <v>804</v>
      </c>
      <c r="G251" t="s">
        <v>805</v>
      </c>
      <c r="H251">
        <v>36108</v>
      </c>
      <c r="I251">
        <v>25877524</v>
      </c>
      <c r="L251" s="2">
        <v>42678</v>
      </c>
      <c r="M251" s="3">
        <f t="shared" si="3"/>
        <v>2016</v>
      </c>
      <c r="N251" s="2">
        <v>43105</v>
      </c>
      <c r="O251">
        <v>243</v>
      </c>
      <c r="P251" s="6">
        <v>23873</v>
      </c>
      <c r="Q251">
        <v>11936.5</v>
      </c>
      <c r="R251">
        <v>4774.6000000000004</v>
      </c>
      <c r="S251">
        <v>176</v>
      </c>
      <c r="T251" s="6">
        <v>816.48</v>
      </c>
      <c r="U251" t="s">
        <v>172</v>
      </c>
      <c r="V251" t="s">
        <v>1686</v>
      </c>
      <c r="W251" t="s">
        <v>1674</v>
      </c>
      <c r="X251" t="s">
        <v>1683</v>
      </c>
      <c r="Y251" t="s">
        <v>1679</v>
      </c>
      <c r="Z251" t="s">
        <v>1684</v>
      </c>
      <c r="AA251" t="s">
        <v>806</v>
      </c>
      <c r="AB251">
        <v>99</v>
      </c>
      <c r="AC251">
        <v>32</v>
      </c>
      <c r="AE251">
        <v>195</v>
      </c>
      <c r="AH251" t="s">
        <v>31</v>
      </c>
    </row>
    <row r="252" spans="1:34" x14ac:dyDescent="0.25">
      <c r="A252">
        <v>251</v>
      </c>
      <c r="B252" s="5">
        <v>122846690</v>
      </c>
      <c r="C252" s="5">
        <v>26234736467</v>
      </c>
      <c r="D252">
        <v>3226</v>
      </c>
      <c r="E252" s="1" t="s">
        <v>1688</v>
      </c>
      <c r="F252" t="s">
        <v>807</v>
      </c>
      <c r="G252" t="s">
        <v>808</v>
      </c>
      <c r="H252">
        <v>27185</v>
      </c>
      <c r="I252">
        <v>45515980</v>
      </c>
      <c r="L252" s="2">
        <v>39556</v>
      </c>
      <c r="M252" s="3">
        <f t="shared" si="3"/>
        <v>2008</v>
      </c>
      <c r="N252" s="2" t="s">
        <v>28</v>
      </c>
      <c r="O252">
        <v>216</v>
      </c>
      <c r="P252" s="6">
        <v>2176</v>
      </c>
      <c r="Q252">
        <v>1088</v>
      </c>
      <c r="R252">
        <v>435.20000000000005</v>
      </c>
      <c r="S252">
        <v>176</v>
      </c>
      <c r="T252" s="6">
        <v>725.76</v>
      </c>
      <c r="U252" t="s">
        <v>44</v>
      </c>
      <c r="V252" t="s">
        <v>1682</v>
      </c>
      <c r="W252" t="s">
        <v>1681</v>
      </c>
      <c r="X252" t="s">
        <v>1683</v>
      </c>
      <c r="Y252" t="s">
        <v>1679</v>
      </c>
      <c r="Z252" t="s">
        <v>1684</v>
      </c>
      <c r="AA252" t="s">
        <v>809</v>
      </c>
      <c r="AB252">
        <v>113</v>
      </c>
      <c r="AC252">
        <v>39</v>
      </c>
      <c r="AE252">
        <v>82</v>
      </c>
      <c r="AH252" t="s">
        <v>41</v>
      </c>
    </row>
    <row r="253" spans="1:34" x14ac:dyDescent="0.25">
      <c r="A253">
        <v>252</v>
      </c>
      <c r="B253" s="5">
        <v>125277533</v>
      </c>
      <c r="C253" s="3">
        <v>1392585689</v>
      </c>
      <c r="D253">
        <v>6408</v>
      </c>
      <c r="E253" s="1" t="s">
        <v>1688</v>
      </c>
      <c r="F253" t="s">
        <v>810</v>
      </c>
      <c r="G253" t="s">
        <v>811</v>
      </c>
      <c r="H253">
        <v>33997</v>
      </c>
      <c r="I253">
        <v>42949440</v>
      </c>
      <c r="L253" s="2">
        <v>41333</v>
      </c>
      <c r="M253" s="3">
        <f t="shared" si="3"/>
        <v>2013</v>
      </c>
      <c r="N253" s="2" t="s">
        <v>28</v>
      </c>
      <c r="O253">
        <v>187</v>
      </c>
      <c r="P253" s="6">
        <v>17534</v>
      </c>
      <c r="Q253">
        <v>8767</v>
      </c>
      <c r="R253">
        <v>3506.8</v>
      </c>
      <c r="S253">
        <v>198</v>
      </c>
      <c r="T253" s="6">
        <v>628.32000000000005</v>
      </c>
      <c r="U253" t="s">
        <v>790</v>
      </c>
      <c r="V253" t="s">
        <v>1673</v>
      </c>
      <c r="W253" t="s">
        <v>1687</v>
      </c>
      <c r="X253" t="s">
        <v>1675</v>
      </c>
      <c r="Y253" t="s">
        <v>61</v>
      </c>
      <c r="Z253" t="s">
        <v>1676</v>
      </c>
      <c r="AA253" t="s">
        <v>812</v>
      </c>
      <c r="AB253">
        <v>150</v>
      </c>
      <c r="AC253">
        <v>0</v>
      </c>
      <c r="AE253">
        <v>93</v>
      </c>
      <c r="AH253" t="s">
        <v>98</v>
      </c>
    </row>
    <row r="254" spans="1:34" x14ac:dyDescent="0.25">
      <c r="A254">
        <v>253</v>
      </c>
      <c r="B254" s="5">
        <v>378766004</v>
      </c>
      <c r="C254" s="5">
        <v>41544845862</v>
      </c>
      <c r="D254">
        <v>4173</v>
      </c>
      <c r="E254" s="1" t="s">
        <v>1688</v>
      </c>
      <c r="F254" t="s">
        <v>813</v>
      </c>
      <c r="G254" t="s">
        <v>814</v>
      </c>
      <c r="H254">
        <v>31387</v>
      </c>
      <c r="I254">
        <v>39951689</v>
      </c>
      <c r="L254" s="2">
        <v>39918</v>
      </c>
      <c r="M254" s="3">
        <f t="shared" si="3"/>
        <v>2009</v>
      </c>
      <c r="N254" s="2">
        <v>42490</v>
      </c>
      <c r="O254">
        <v>248</v>
      </c>
      <c r="P254" s="6">
        <v>12570</v>
      </c>
      <c r="Q254">
        <v>6285</v>
      </c>
      <c r="R254">
        <v>2514</v>
      </c>
      <c r="S254">
        <v>154</v>
      </c>
      <c r="T254" s="6">
        <v>833.28000000000009</v>
      </c>
      <c r="U254" t="s">
        <v>44</v>
      </c>
      <c r="V254" t="s">
        <v>1682</v>
      </c>
      <c r="W254" t="s">
        <v>1681</v>
      </c>
      <c r="X254" t="s">
        <v>1683</v>
      </c>
      <c r="Y254" t="s">
        <v>1679</v>
      </c>
      <c r="Z254" t="s">
        <v>1684</v>
      </c>
      <c r="AA254" t="s">
        <v>815</v>
      </c>
      <c r="AB254">
        <v>122</v>
      </c>
      <c r="AC254">
        <v>52</v>
      </c>
      <c r="AE254">
        <v>174</v>
      </c>
      <c r="AH254" t="s">
        <v>41</v>
      </c>
    </row>
    <row r="255" spans="1:34" x14ac:dyDescent="0.25">
      <c r="A255">
        <v>254</v>
      </c>
      <c r="B255" s="5">
        <v>451822946</v>
      </c>
      <c r="C255" s="5">
        <v>80152477467</v>
      </c>
      <c r="D255">
        <v>4603</v>
      </c>
      <c r="E255" s="1" t="s">
        <v>1688</v>
      </c>
      <c r="F255" t="s">
        <v>816</v>
      </c>
      <c r="G255" t="s">
        <v>817</v>
      </c>
      <c r="H255">
        <v>26626</v>
      </c>
      <c r="I255">
        <v>37716185</v>
      </c>
      <c r="L255" s="2">
        <v>33665</v>
      </c>
      <c r="M255" s="3">
        <f t="shared" si="3"/>
        <v>1992</v>
      </c>
      <c r="N255" s="2">
        <v>35252</v>
      </c>
      <c r="O255">
        <v>239</v>
      </c>
      <c r="P255" s="6">
        <v>2707</v>
      </c>
      <c r="Q255">
        <v>1353.5</v>
      </c>
      <c r="R255">
        <v>541.4</v>
      </c>
      <c r="S255">
        <v>242</v>
      </c>
      <c r="T255" s="6">
        <v>803.04</v>
      </c>
      <c r="U255" t="s">
        <v>64</v>
      </c>
      <c r="V255" t="s">
        <v>1682</v>
      </c>
      <c r="W255" t="s">
        <v>1685</v>
      </c>
      <c r="X255" t="s">
        <v>1683</v>
      </c>
      <c r="Y255" t="s">
        <v>1679</v>
      </c>
      <c r="Z255" t="s">
        <v>1684</v>
      </c>
      <c r="AA255" t="s">
        <v>818</v>
      </c>
      <c r="AB255">
        <v>137</v>
      </c>
      <c r="AC255">
        <v>15</v>
      </c>
      <c r="AE255">
        <v>170</v>
      </c>
      <c r="AH255" t="s">
        <v>57</v>
      </c>
    </row>
    <row r="256" spans="1:34" x14ac:dyDescent="0.25">
      <c r="A256">
        <v>255</v>
      </c>
      <c r="B256" s="5">
        <v>118888915</v>
      </c>
      <c r="C256" s="5">
        <v>12307452053</v>
      </c>
      <c r="D256">
        <v>5696</v>
      </c>
      <c r="E256" s="1" t="s">
        <v>1689</v>
      </c>
      <c r="F256" t="s">
        <v>819</v>
      </c>
      <c r="G256" t="s">
        <v>820</v>
      </c>
      <c r="H256">
        <v>30024</v>
      </c>
      <c r="I256">
        <v>24441727</v>
      </c>
      <c r="L256" s="2">
        <v>40694</v>
      </c>
      <c r="M256" s="3">
        <f t="shared" si="3"/>
        <v>2011</v>
      </c>
      <c r="N256" s="2" t="s">
        <v>28</v>
      </c>
      <c r="O256">
        <v>242</v>
      </c>
      <c r="P256" s="6">
        <v>16096</v>
      </c>
      <c r="Q256">
        <v>8048</v>
      </c>
      <c r="R256">
        <v>3219.2000000000003</v>
      </c>
      <c r="S256">
        <v>220</v>
      </c>
      <c r="T256" s="6">
        <v>813.12</v>
      </c>
      <c r="U256" t="s">
        <v>51</v>
      </c>
      <c r="V256" t="s">
        <v>1682</v>
      </c>
      <c r="W256" t="s">
        <v>1674</v>
      </c>
      <c r="X256" t="s">
        <v>1683</v>
      </c>
      <c r="Y256" t="s">
        <v>1679</v>
      </c>
      <c r="Z256" t="s">
        <v>1684</v>
      </c>
      <c r="AA256" t="s">
        <v>821</v>
      </c>
      <c r="AB256">
        <v>42</v>
      </c>
      <c r="AC256">
        <v>46</v>
      </c>
      <c r="AE256">
        <v>51</v>
      </c>
      <c r="AH256" t="s">
        <v>31</v>
      </c>
    </row>
    <row r="257" spans="1:34" x14ac:dyDescent="0.25">
      <c r="A257">
        <v>256</v>
      </c>
      <c r="B257" s="5">
        <v>153487556</v>
      </c>
      <c r="C257" s="5">
        <v>25060647407</v>
      </c>
      <c r="D257">
        <v>4787</v>
      </c>
      <c r="E257" s="1" t="s">
        <v>1689</v>
      </c>
      <c r="F257" t="s">
        <v>822</v>
      </c>
      <c r="G257" t="s">
        <v>823</v>
      </c>
      <c r="H257">
        <v>30159</v>
      </c>
      <c r="I257">
        <v>27699219</v>
      </c>
      <c r="L257" s="2">
        <v>36729</v>
      </c>
      <c r="M257" s="3">
        <f t="shared" si="3"/>
        <v>2000</v>
      </c>
      <c r="N257" s="2" t="s">
        <v>28</v>
      </c>
      <c r="O257">
        <v>210</v>
      </c>
      <c r="P257" s="6">
        <v>14507</v>
      </c>
      <c r="Q257">
        <v>7253.5</v>
      </c>
      <c r="R257">
        <v>2901.4</v>
      </c>
      <c r="S257">
        <v>242</v>
      </c>
      <c r="T257" s="6">
        <v>705.6</v>
      </c>
      <c r="U257" t="s">
        <v>92</v>
      </c>
      <c r="V257" t="s">
        <v>1686</v>
      </c>
      <c r="W257" t="s">
        <v>1678</v>
      </c>
      <c r="X257" t="s">
        <v>1683</v>
      </c>
      <c r="Y257" t="s">
        <v>1679</v>
      </c>
      <c r="Z257" t="s">
        <v>1684</v>
      </c>
      <c r="AA257" t="s">
        <v>824</v>
      </c>
      <c r="AB257">
        <v>91</v>
      </c>
      <c r="AC257">
        <v>60</v>
      </c>
      <c r="AE257">
        <v>117</v>
      </c>
      <c r="AH257" t="s">
        <v>36</v>
      </c>
    </row>
    <row r="258" spans="1:34" x14ac:dyDescent="0.25">
      <c r="A258">
        <v>257</v>
      </c>
      <c r="B258" s="5">
        <v>847818602</v>
      </c>
      <c r="C258" s="5">
        <v>54899031101</v>
      </c>
      <c r="D258">
        <v>5727</v>
      </c>
      <c r="E258" s="1" t="s">
        <v>1689</v>
      </c>
      <c r="F258" t="s">
        <v>825</v>
      </c>
      <c r="G258" t="s">
        <v>826</v>
      </c>
      <c r="H258">
        <v>31798</v>
      </c>
      <c r="I258">
        <v>29581063</v>
      </c>
      <c r="L258" s="2">
        <v>41740</v>
      </c>
      <c r="M258" s="3">
        <f t="shared" si="3"/>
        <v>2014</v>
      </c>
      <c r="N258" s="2" t="s">
        <v>28</v>
      </c>
      <c r="O258">
        <v>203</v>
      </c>
      <c r="P258" s="6">
        <v>13251</v>
      </c>
      <c r="Q258">
        <v>6625.5</v>
      </c>
      <c r="R258">
        <v>2650.2000000000003</v>
      </c>
      <c r="S258">
        <v>286</v>
      </c>
      <c r="T258" s="6">
        <v>682.07999999999993</v>
      </c>
      <c r="U258" t="s">
        <v>96</v>
      </c>
      <c r="V258" t="s">
        <v>1686</v>
      </c>
      <c r="W258" t="s">
        <v>1687</v>
      </c>
      <c r="X258" t="s">
        <v>1683</v>
      </c>
      <c r="Y258" t="s">
        <v>1679</v>
      </c>
      <c r="Z258" t="s">
        <v>1684</v>
      </c>
      <c r="AA258" t="s">
        <v>827</v>
      </c>
      <c r="AB258">
        <v>54</v>
      </c>
      <c r="AC258">
        <v>28</v>
      </c>
      <c r="AE258">
        <v>152</v>
      </c>
      <c r="AH258" t="s">
        <v>98</v>
      </c>
    </row>
    <row r="259" spans="1:34" x14ac:dyDescent="0.25">
      <c r="A259">
        <v>258</v>
      </c>
      <c r="B259" s="5">
        <v>271215970</v>
      </c>
      <c r="C259" s="5">
        <v>46602101730</v>
      </c>
      <c r="D259">
        <v>2770</v>
      </c>
      <c r="E259" s="1" t="s">
        <v>1688</v>
      </c>
      <c r="F259" t="s">
        <v>828</v>
      </c>
      <c r="G259" t="s">
        <v>829</v>
      </c>
      <c r="H259">
        <v>35835</v>
      </c>
      <c r="I259">
        <v>23019973</v>
      </c>
      <c r="L259" s="2">
        <v>42405</v>
      </c>
      <c r="M259" s="3">
        <f t="shared" ref="M259:M322" si="4">YEAR(L259)</f>
        <v>2016</v>
      </c>
      <c r="N259" s="2" t="s">
        <v>28</v>
      </c>
      <c r="O259">
        <v>235</v>
      </c>
      <c r="P259" s="6">
        <v>20089</v>
      </c>
      <c r="Q259">
        <v>10044.5</v>
      </c>
      <c r="R259">
        <v>4017.8</v>
      </c>
      <c r="S259">
        <v>154</v>
      </c>
      <c r="T259" s="6">
        <v>789.6</v>
      </c>
      <c r="U259" t="s">
        <v>172</v>
      </c>
      <c r="V259" t="s">
        <v>1686</v>
      </c>
      <c r="W259" t="s">
        <v>1674</v>
      </c>
      <c r="X259" t="s">
        <v>1683</v>
      </c>
      <c r="Y259" t="s">
        <v>1679</v>
      </c>
      <c r="Z259" t="s">
        <v>1684</v>
      </c>
      <c r="AA259" t="s">
        <v>830</v>
      </c>
      <c r="AB259">
        <v>50</v>
      </c>
      <c r="AC259">
        <v>35</v>
      </c>
      <c r="AE259">
        <v>78</v>
      </c>
      <c r="AH259" t="s">
        <v>31</v>
      </c>
    </row>
    <row r="260" spans="1:34" x14ac:dyDescent="0.25">
      <c r="A260">
        <v>259</v>
      </c>
      <c r="B260" s="5">
        <v>284748208</v>
      </c>
      <c r="C260" s="5">
        <v>80672836249</v>
      </c>
      <c r="D260">
        <v>7876</v>
      </c>
      <c r="E260" s="1" t="s">
        <v>1689</v>
      </c>
      <c r="F260" t="s">
        <v>831</v>
      </c>
      <c r="G260" t="s">
        <v>832</v>
      </c>
      <c r="H260">
        <v>28867</v>
      </c>
      <c r="I260">
        <v>38075416</v>
      </c>
      <c r="L260" s="2">
        <v>37798</v>
      </c>
      <c r="M260" s="3">
        <f t="shared" si="4"/>
        <v>2003</v>
      </c>
      <c r="N260" s="2" t="s">
        <v>28</v>
      </c>
      <c r="O260">
        <v>186</v>
      </c>
      <c r="P260" s="6">
        <v>5353</v>
      </c>
      <c r="Q260">
        <v>2676.5</v>
      </c>
      <c r="R260">
        <v>1070.6000000000001</v>
      </c>
      <c r="S260">
        <v>242</v>
      </c>
      <c r="T260" s="6">
        <v>624.96</v>
      </c>
      <c r="U260" t="s">
        <v>140</v>
      </c>
      <c r="V260" t="s">
        <v>1682</v>
      </c>
      <c r="W260" t="s">
        <v>1678</v>
      </c>
      <c r="X260" t="s">
        <v>1683</v>
      </c>
      <c r="Y260" t="s">
        <v>1679</v>
      </c>
      <c r="Z260" t="s">
        <v>1684</v>
      </c>
      <c r="AA260" t="s">
        <v>833</v>
      </c>
      <c r="AB260">
        <v>27</v>
      </c>
      <c r="AC260">
        <v>31</v>
      </c>
      <c r="AE260">
        <v>162</v>
      </c>
      <c r="AH260" t="s">
        <v>36</v>
      </c>
    </row>
    <row r="261" spans="1:34" x14ac:dyDescent="0.25">
      <c r="A261">
        <v>260</v>
      </c>
      <c r="B261" s="5">
        <v>163342036</v>
      </c>
      <c r="C261" s="5">
        <v>89161415175</v>
      </c>
      <c r="D261">
        <v>1218</v>
      </c>
      <c r="E261" s="1" t="s">
        <v>1689</v>
      </c>
      <c r="F261" t="s">
        <v>834</v>
      </c>
      <c r="G261" t="s">
        <v>835</v>
      </c>
      <c r="H261">
        <v>25605</v>
      </c>
      <c r="I261">
        <v>24975046</v>
      </c>
      <c r="L261" s="2">
        <v>38249</v>
      </c>
      <c r="M261" s="3">
        <f t="shared" si="4"/>
        <v>2004</v>
      </c>
      <c r="N261" s="2" t="s">
        <v>28</v>
      </c>
      <c r="O261">
        <v>157</v>
      </c>
      <c r="P261" s="6">
        <v>5774</v>
      </c>
      <c r="Q261">
        <v>2887</v>
      </c>
      <c r="R261">
        <v>1154.8</v>
      </c>
      <c r="S261">
        <v>220</v>
      </c>
      <c r="T261" s="6">
        <v>527.52</v>
      </c>
      <c r="U261" t="s">
        <v>34</v>
      </c>
      <c r="V261" t="s">
        <v>1677</v>
      </c>
      <c r="W261" t="s">
        <v>1678</v>
      </c>
      <c r="X261" t="s">
        <v>1675</v>
      </c>
      <c r="Y261" t="s">
        <v>1679</v>
      </c>
      <c r="Z261" t="s">
        <v>1680</v>
      </c>
      <c r="AA261" t="s">
        <v>836</v>
      </c>
      <c r="AB261">
        <v>78</v>
      </c>
      <c r="AC261">
        <v>4</v>
      </c>
      <c r="AE261">
        <v>52</v>
      </c>
      <c r="AH261" t="s">
        <v>36</v>
      </c>
    </row>
    <row r="262" spans="1:34" x14ac:dyDescent="0.25">
      <c r="A262">
        <v>261</v>
      </c>
      <c r="B262" s="5">
        <v>267494883</v>
      </c>
      <c r="C262" s="5">
        <v>81911347285</v>
      </c>
      <c r="D262">
        <v>7776</v>
      </c>
      <c r="E262" s="1" t="s">
        <v>1688</v>
      </c>
      <c r="F262" t="s">
        <v>837</v>
      </c>
      <c r="G262" t="s">
        <v>838</v>
      </c>
      <c r="H262">
        <v>28061</v>
      </c>
      <c r="I262">
        <v>47721989</v>
      </c>
      <c r="L262" s="2">
        <v>42624</v>
      </c>
      <c r="M262" s="3">
        <f t="shared" si="4"/>
        <v>2016</v>
      </c>
      <c r="N262" s="2" t="s">
        <v>28</v>
      </c>
      <c r="O262">
        <v>154</v>
      </c>
      <c r="P262" s="6">
        <v>4534</v>
      </c>
      <c r="Q262">
        <v>2267</v>
      </c>
      <c r="R262">
        <v>906.80000000000007</v>
      </c>
      <c r="S262">
        <v>242</v>
      </c>
      <c r="T262" s="6">
        <v>517.44000000000005</v>
      </c>
      <c r="U262" t="s">
        <v>39</v>
      </c>
      <c r="V262" t="s">
        <v>1677</v>
      </c>
      <c r="W262" t="s">
        <v>1681</v>
      </c>
      <c r="X262" t="s">
        <v>1675</v>
      </c>
      <c r="Y262" t="s">
        <v>1679</v>
      </c>
      <c r="Z262" t="s">
        <v>1680</v>
      </c>
      <c r="AA262" t="s">
        <v>839</v>
      </c>
      <c r="AB262">
        <v>70</v>
      </c>
      <c r="AC262">
        <v>56</v>
      </c>
      <c r="AE262">
        <v>149</v>
      </c>
      <c r="AH262" t="s">
        <v>41</v>
      </c>
    </row>
    <row r="263" spans="1:34" x14ac:dyDescent="0.25">
      <c r="A263">
        <v>262</v>
      </c>
      <c r="B263" s="5">
        <v>490866364</v>
      </c>
      <c r="C263" s="3">
        <v>9116171417</v>
      </c>
      <c r="D263">
        <v>7965</v>
      </c>
      <c r="E263" s="1" t="s">
        <v>1689</v>
      </c>
      <c r="F263" t="s">
        <v>840</v>
      </c>
      <c r="G263" t="s">
        <v>841</v>
      </c>
      <c r="H263">
        <v>30201</v>
      </c>
      <c r="I263">
        <v>31718609</v>
      </c>
      <c r="L263" s="2">
        <v>37753</v>
      </c>
      <c r="M263" s="3">
        <f t="shared" si="4"/>
        <v>2003</v>
      </c>
      <c r="N263" s="2" t="s">
        <v>28</v>
      </c>
      <c r="O263">
        <v>216</v>
      </c>
      <c r="P263" s="6">
        <v>22198</v>
      </c>
      <c r="Q263">
        <v>11099</v>
      </c>
      <c r="R263">
        <v>4439.6000000000004</v>
      </c>
      <c r="S263">
        <v>308</v>
      </c>
      <c r="T263" s="6">
        <v>725.76</v>
      </c>
      <c r="U263" t="s">
        <v>29</v>
      </c>
      <c r="V263" t="s">
        <v>1673</v>
      </c>
      <c r="W263" t="s">
        <v>1674</v>
      </c>
      <c r="X263" t="s">
        <v>1675</v>
      </c>
      <c r="Y263" t="s">
        <v>61</v>
      </c>
      <c r="Z263" t="s">
        <v>1676</v>
      </c>
      <c r="AA263" t="s">
        <v>842</v>
      </c>
      <c r="AB263">
        <v>117</v>
      </c>
      <c r="AC263">
        <v>16</v>
      </c>
      <c r="AE263">
        <v>16</v>
      </c>
      <c r="AH263" t="s">
        <v>31</v>
      </c>
    </row>
    <row r="264" spans="1:34" x14ac:dyDescent="0.25">
      <c r="A264">
        <v>263</v>
      </c>
      <c r="B264" s="5">
        <v>820043586</v>
      </c>
      <c r="C264" s="5">
        <v>72370130546</v>
      </c>
      <c r="D264">
        <v>7058</v>
      </c>
      <c r="E264" s="1" t="s">
        <v>1688</v>
      </c>
      <c r="F264" t="s">
        <v>843</v>
      </c>
      <c r="G264" t="s">
        <v>844</v>
      </c>
      <c r="H264">
        <v>30352</v>
      </c>
      <c r="I264">
        <v>33770782</v>
      </c>
      <c r="L264" s="2">
        <v>41442</v>
      </c>
      <c r="M264" s="3">
        <f t="shared" si="4"/>
        <v>2013</v>
      </c>
      <c r="N264" s="2" t="s">
        <v>28</v>
      </c>
      <c r="O264">
        <v>160</v>
      </c>
      <c r="P264" s="6">
        <v>3657</v>
      </c>
      <c r="Q264">
        <v>1828.5</v>
      </c>
      <c r="R264">
        <v>731.40000000000009</v>
      </c>
      <c r="S264">
        <v>264</v>
      </c>
      <c r="T264" s="6">
        <v>537.6</v>
      </c>
      <c r="U264" t="s">
        <v>96</v>
      </c>
      <c r="V264" t="s">
        <v>1686</v>
      </c>
      <c r="W264" t="s">
        <v>1687</v>
      </c>
      <c r="X264" t="s">
        <v>1683</v>
      </c>
      <c r="Y264" t="s">
        <v>1679</v>
      </c>
      <c r="Z264" t="s">
        <v>1684</v>
      </c>
      <c r="AA264" t="s">
        <v>845</v>
      </c>
      <c r="AB264">
        <v>136</v>
      </c>
      <c r="AC264">
        <v>51</v>
      </c>
      <c r="AE264">
        <v>140</v>
      </c>
      <c r="AH264" t="s">
        <v>98</v>
      </c>
    </row>
    <row r="265" spans="1:34" x14ac:dyDescent="0.25">
      <c r="A265">
        <v>264</v>
      </c>
      <c r="B265" s="5">
        <v>209730569</v>
      </c>
      <c r="C265" s="5">
        <v>31008513124</v>
      </c>
      <c r="D265">
        <v>2575</v>
      </c>
      <c r="E265" s="1" t="s">
        <v>1688</v>
      </c>
      <c r="F265" t="s">
        <v>846</v>
      </c>
      <c r="G265" t="s">
        <v>847</v>
      </c>
      <c r="H265">
        <v>31902</v>
      </c>
      <c r="I265">
        <v>44324533</v>
      </c>
      <c r="L265" s="2">
        <v>40047</v>
      </c>
      <c r="M265" s="3">
        <f t="shared" si="4"/>
        <v>2009</v>
      </c>
      <c r="N265" s="2" t="s">
        <v>28</v>
      </c>
      <c r="O265">
        <v>185</v>
      </c>
      <c r="P265" s="6">
        <v>5505</v>
      </c>
      <c r="Q265">
        <v>2752.5</v>
      </c>
      <c r="R265">
        <v>1101</v>
      </c>
      <c r="S265">
        <v>198</v>
      </c>
      <c r="T265" s="6">
        <v>621.6</v>
      </c>
      <c r="U265" t="s">
        <v>446</v>
      </c>
      <c r="V265" t="s">
        <v>1680</v>
      </c>
      <c r="W265" t="s">
        <v>1685</v>
      </c>
      <c r="X265" t="s">
        <v>1675</v>
      </c>
      <c r="Y265" t="s">
        <v>61</v>
      </c>
      <c r="Z265" t="s">
        <v>1676</v>
      </c>
      <c r="AA265" t="s">
        <v>848</v>
      </c>
      <c r="AB265">
        <v>88</v>
      </c>
      <c r="AC265">
        <v>45</v>
      </c>
      <c r="AE265">
        <v>56</v>
      </c>
      <c r="AH265" t="s">
        <v>57</v>
      </c>
    </row>
    <row r="266" spans="1:34" x14ac:dyDescent="0.25">
      <c r="A266">
        <v>265</v>
      </c>
      <c r="B266" s="5">
        <v>755316976</v>
      </c>
      <c r="C266" s="5">
        <v>68586619048</v>
      </c>
      <c r="D266">
        <v>4566</v>
      </c>
      <c r="E266" s="1" t="s">
        <v>1688</v>
      </c>
      <c r="F266" t="s">
        <v>849</v>
      </c>
      <c r="G266" t="s">
        <v>850</v>
      </c>
      <c r="H266">
        <v>26691</v>
      </c>
      <c r="I266">
        <v>33454155</v>
      </c>
      <c r="L266" s="2">
        <v>37857</v>
      </c>
      <c r="M266" s="3">
        <f t="shared" si="4"/>
        <v>2003</v>
      </c>
      <c r="N266" s="2" t="s">
        <v>28</v>
      </c>
      <c r="O266">
        <v>160</v>
      </c>
      <c r="P266" s="6">
        <v>7803</v>
      </c>
      <c r="Q266">
        <v>3901.5</v>
      </c>
      <c r="R266">
        <v>1560.6000000000001</v>
      </c>
      <c r="S266">
        <v>220</v>
      </c>
      <c r="T266" s="6">
        <v>537.6</v>
      </c>
      <c r="U266" t="s">
        <v>82</v>
      </c>
      <c r="V266" t="s">
        <v>1677</v>
      </c>
      <c r="W266" t="s">
        <v>1685</v>
      </c>
      <c r="X266" t="s">
        <v>1675</v>
      </c>
      <c r="Y266" t="s">
        <v>1679</v>
      </c>
      <c r="Z266" t="s">
        <v>1680</v>
      </c>
      <c r="AA266" t="s">
        <v>851</v>
      </c>
      <c r="AB266">
        <v>140</v>
      </c>
      <c r="AC266">
        <v>23</v>
      </c>
      <c r="AE266">
        <v>137</v>
      </c>
      <c r="AH266" t="s">
        <v>57</v>
      </c>
    </row>
    <row r="267" spans="1:34" x14ac:dyDescent="0.25">
      <c r="A267">
        <v>266</v>
      </c>
      <c r="B267" s="5">
        <v>535999094</v>
      </c>
      <c r="C267" s="5">
        <v>59961179530</v>
      </c>
      <c r="D267">
        <v>3621</v>
      </c>
      <c r="E267" s="1" t="s">
        <v>1688</v>
      </c>
      <c r="F267" t="s">
        <v>852</v>
      </c>
      <c r="G267" t="s">
        <v>853</v>
      </c>
      <c r="H267">
        <v>31363</v>
      </c>
      <c r="I267">
        <v>24119561</v>
      </c>
      <c r="L267" s="2">
        <v>38784</v>
      </c>
      <c r="M267" s="3">
        <f t="shared" si="4"/>
        <v>2006</v>
      </c>
      <c r="N267" s="2" t="s">
        <v>28</v>
      </c>
      <c r="O267">
        <v>187</v>
      </c>
      <c r="P267" s="6">
        <v>1425</v>
      </c>
      <c r="Q267">
        <v>712.5</v>
      </c>
      <c r="R267">
        <v>285</v>
      </c>
      <c r="S267">
        <v>176</v>
      </c>
      <c r="T267" s="6">
        <v>628.32000000000005</v>
      </c>
      <c r="U267" t="s">
        <v>172</v>
      </c>
      <c r="V267" t="s">
        <v>1686</v>
      </c>
      <c r="W267" t="s">
        <v>1674</v>
      </c>
      <c r="X267" t="s">
        <v>1683</v>
      </c>
      <c r="Y267" t="s">
        <v>1679</v>
      </c>
      <c r="Z267" t="s">
        <v>1684</v>
      </c>
      <c r="AA267" t="s">
        <v>854</v>
      </c>
      <c r="AB267">
        <v>138</v>
      </c>
      <c r="AC267">
        <v>17</v>
      </c>
      <c r="AE267">
        <v>48</v>
      </c>
      <c r="AH267" t="s">
        <v>31</v>
      </c>
    </row>
    <row r="268" spans="1:34" x14ac:dyDescent="0.25">
      <c r="A268">
        <v>267</v>
      </c>
      <c r="B268" s="5">
        <v>783877189</v>
      </c>
      <c r="C268" s="3">
        <v>3461580057</v>
      </c>
      <c r="D268">
        <v>4870</v>
      </c>
      <c r="E268" s="1" t="s">
        <v>1688</v>
      </c>
      <c r="F268" t="s">
        <v>855</v>
      </c>
      <c r="G268" t="s">
        <v>856</v>
      </c>
      <c r="H268">
        <v>32427</v>
      </c>
      <c r="I268">
        <v>39571725</v>
      </c>
      <c r="L268" s="2">
        <v>38997</v>
      </c>
      <c r="M268" s="3">
        <f t="shared" si="4"/>
        <v>2006</v>
      </c>
      <c r="N268" s="2" t="s">
        <v>28</v>
      </c>
      <c r="O268">
        <v>161</v>
      </c>
      <c r="P268" s="6">
        <v>18150</v>
      </c>
      <c r="Q268">
        <v>9075</v>
      </c>
      <c r="R268">
        <v>3630</v>
      </c>
      <c r="S268">
        <v>242</v>
      </c>
      <c r="T268" s="6">
        <v>540.96</v>
      </c>
      <c r="U268" t="s">
        <v>164</v>
      </c>
      <c r="V268" t="s">
        <v>1677</v>
      </c>
      <c r="W268" t="s">
        <v>1674</v>
      </c>
      <c r="X268" t="s">
        <v>1675</v>
      </c>
      <c r="Y268" t="s">
        <v>1679</v>
      </c>
      <c r="Z268" t="s">
        <v>1680</v>
      </c>
      <c r="AA268" t="s">
        <v>857</v>
      </c>
      <c r="AB268">
        <v>62</v>
      </c>
      <c r="AC268">
        <v>47</v>
      </c>
      <c r="AE268">
        <v>127</v>
      </c>
      <c r="AH268" t="s">
        <v>31</v>
      </c>
    </row>
    <row r="269" spans="1:34" x14ac:dyDescent="0.25">
      <c r="A269">
        <v>268</v>
      </c>
      <c r="B269" s="5">
        <v>564553030</v>
      </c>
      <c r="C269" s="5">
        <v>91368502421</v>
      </c>
      <c r="D269">
        <v>5403</v>
      </c>
      <c r="E269" s="1" t="s">
        <v>1688</v>
      </c>
      <c r="F269" t="s">
        <v>858</v>
      </c>
      <c r="G269" t="s">
        <v>859</v>
      </c>
      <c r="H269">
        <v>32322</v>
      </c>
      <c r="I269">
        <v>36977064</v>
      </c>
      <c r="L269" s="2">
        <v>38892</v>
      </c>
      <c r="M269" s="3">
        <f t="shared" si="4"/>
        <v>2006</v>
      </c>
      <c r="N269" s="2">
        <v>41177</v>
      </c>
      <c r="O269">
        <v>155</v>
      </c>
      <c r="P269" s="6">
        <v>9841</v>
      </c>
      <c r="Q269">
        <v>4920.5</v>
      </c>
      <c r="R269">
        <v>1968.2</v>
      </c>
      <c r="S269">
        <v>154</v>
      </c>
      <c r="T269" s="6">
        <v>520.80000000000007</v>
      </c>
      <c r="U269" t="s">
        <v>164</v>
      </c>
      <c r="V269" t="s">
        <v>1677</v>
      </c>
      <c r="W269" t="s">
        <v>1674</v>
      </c>
      <c r="X269" t="s">
        <v>1675</v>
      </c>
      <c r="Y269" t="s">
        <v>1679</v>
      </c>
      <c r="Z269" t="s">
        <v>1680</v>
      </c>
      <c r="AA269" t="s">
        <v>860</v>
      </c>
      <c r="AB269">
        <v>120</v>
      </c>
      <c r="AC269">
        <v>20</v>
      </c>
      <c r="AE269">
        <v>183</v>
      </c>
      <c r="AH269" t="s">
        <v>31</v>
      </c>
    </row>
    <row r="270" spans="1:34" x14ac:dyDescent="0.25">
      <c r="A270">
        <v>269</v>
      </c>
      <c r="B270" s="5">
        <v>756290052</v>
      </c>
      <c r="C270" s="5">
        <v>99002873592</v>
      </c>
      <c r="D270">
        <v>3407</v>
      </c>
      <c r="E270" s="1" t="s">
        <v>1689</v>
      </c>
      <c r="F270" t="s">
        <v>861</v>
      </c>
      <c r="G270" t="s">
        <v>862</v>
      </c>
      <c r="H270">
        <v>29499</v>
      </c>
      <c r="I270">
        <v>21658387</v>
      </c>
      <c r="L270" s="2">
        <v>40386</v>
      </c>
      <c r="M270" s="3">
        <f t="shared" si="4"/>
        <v>2010</v>
      </c>
      <c r="N270" s="2" t="s">
        <v>28</v>
      </c>
      <c r="O270">
        <v>204</v>
      </c>
      <c r="P270" s="6">
        <v>2275</v>
      </c>
      <c r="Q270">
        <v>1137.5</v>
      </c>
      <c r="R270">
        <v>455</v>
      </c>
      <c r="S270">
        <v>264</v>
      </c>
      <c r="T270" s="6">
        <v>685.44</v>
      </c>
      <c r="U270" t="s">
        <v>51</v>
      </c>
      <c r="V270" t="s">
        <v>1682</v>
      </c>
      <c r="W270" t="s">
        <v>1674</v>
      </c>
      <c r="X270" t="s">
        <v>1683</v>
      </c>
      <c r="Y270" t="s">
        <v>1679</v>
      </c>
      <c r="Z270" t="s">
        <v>1684</v>
      </c>
      <c r="AA270" t="s">
        <v>863</v>
      </c>
      <c r="AB270">
        <v>110</v>
      </c>
      <c r="AC270">
        <v>7</v>
      </c>
      <c r="AE270">
        <v>156</v>
      </c>
      <c r="AH270" t="s">
        <v>31</v>
      </c>
    </row>
    <row r="271" spans="1:34" x14ac:dyDescent="0.25">
      <c r="A271">
        <v>270</v>
      </c>
      <c r="B271" s="5">
        <v>893934446</v>
      </c>
      <c r="C271" s="5">
        <v>62393213963</v>
      </c>
      <c r="D271">
        <v>1706</v>
      </c>
      <c r="E271" s="1" t="s">
        <v>1688</v>
      </c>
      <c r="F271" t="s">
        <v>864</v>
      </c>
      <c r="G271" t="s">
        <v>865</v>
      </c>
      <c r="H271">
        <v>30729</v>
      </c>
      <c r="I271">
        <v>42224082</v>
      </c>
      <c r="L271" s="2">
        <v>37299</v>
      </c>
      <c r="M271" s="3">
        <f t="shared" si="4"/>
        <v>2002</v>
      </c>
      <c r="N271" s="2" t="s">
        <v>28</v>
      </c>
      <c r="O271">
        <v>200</v>
      </c>
      <c r="P271" s="6">
        <v>17487</v>
      </c>
      <c r="Q271">
        <v>8743.5</v>
      </c>
      <c r="R271">
        <v>3497.4</v>
      </c>
      <c r="S271">
        <v>308</v>
      </c>
      <c r="T271" s="6">
        <v>672</v>
      </c>
      <c r="U271" t="s">
        <v>64</v>
      </c>
      <c r="V271" t="s">
        <v>1682</v>
      </c>
      <c r="W271" t="s">
        <v>1685</v>
      </c>
      <c r="X271" t="s">
        <v>1683</v>
      </c>
      <c r="Y271" t="s">
        <v>1679</v>
      </c>
      <c r="Z271" t="s">
        <v>1684</v>
      </c>
      <c r="AA271" t="s">
        <v>866</v>
      </c>
      <c r="AB271">
        <v>47</v>
      </c>
      <c r="AC271">
        <v>51</v>
      </c>
      <c r="AE271">
        <v>34</v>
      </c>
      <c r="AH271" t="s">
        <v>57</v>
      </c>
    </row>
    <row r="272" spans="1:34" x14ac:dyDescent="0.25">
      <c r="A272">
        <v>271</v>
      </c>
      <c r="B272" s="5">
        <v>629699329</v>
      </c>
      <c r="C272" s="5">
        <v>39829973621</v>
      </c>
      <c r="D272">
        <v>5397</v>
      </c>
      <c r="E272" s="1" t="s">
        <v>1688</v>
      </c>
      <c r="F272" t="s">
        <v>867</v>
      </c>
      <c r="G272" t="s">
        <v>868</v>
      </c>
      <c r="H272">
        <v>26108</v>
      </c>
      <c r="I272">
        <v>37531834</v>
      </c>
      <c r="L272" s="2">
        <v>37288</v>
      </c>
      <c r="M272" s="3">
        <f t="shared" si="4"/>
        <v>2002</v>
      </c>
      <c r="N272" s="2" t="s">
        <v>28</v>
      </c>
      <c r="O272">
        <v>211</v>
      </c>
      <c r="P272" s="6">
        <v>19971</v>
      </c>
      <c r="Q272">
        <v>9985.5</v>
      </c>
      <c r="R272">
        <v>3994.2000000000003</v>
      </c>
      <c r="S272">
        <v>308</v>
      </c>
      <c r="T272" s="6">
        <v>708.96</v>
      </c>
      <c r="U272" t="s">
        <v>44</v>
      </c>
      <c r="V272" t="s">
        <v>1682</v>
      </c>
      <c r="W272" t="s">
        <v>1681</v>
      </c>
      <c r="X272" t="s">
        <v>1683</v>
      </c>
      <c r="Y272" t="s">
        <v>1679</v>
      </c>
      <c r="Z272" t="s">
        <v>1684</v>
      </c>
      <c r="AA272" t="s">
        <v>869</v>
      </c>
      <c r="AB272">
        <v>94</v>
      </c>
      <c r="AC272">
        <v>28</v>
      </c>
      <c r="AE272">
        <v>109</v>
      </c>
      <c r="AH272" t="s">
        <v>41</v>
      </c>
    </row>
    <row r="273" spans="1:34" x14ac:dyDescent="0.25">
      <c r="A273">
        <v>272</v>
      </c>
      <c r="B273" s="5">
        <v>329153268</v>
      </c>
      <c r="C273" s="5">
        <v>22620115256</v>
      </c>
      <c r="D273">
        <v>4657</v>
      </c>
      <c r="E273" s="1" t="s">
        <v>1689</v>
      </c>
      <c r="F273" t="s">
        <v>870</v>
      </c>
      <c r="G273" t="s">
        <v>871</v>
      </c>
      <c r="H273">
        <v>31682</v>
      </c>
      <c r="I273">
        <v>21752811</v>
      </c>
      <c r="L273" s="2">
        <v>38252</v>
      </c>
      <c r="M273" s="3">
        <f t="shared" si="4"/>
        <v>2004</v>
      </c>
      <c r="N273" s="2" t="s">
        <v>28</v>
      </c>
      <c r="O273">
        <v>161</v>
      </c>
      <c r="P273" s="6">
        <v>13638</v>
      </c>
      <c r="Q273">
        <v>6819</v>
      </c>
      <c r="R273">
        <v>2727.6000000000004</v>
      </c>
      <c r="S273">
        <v>198</v>
      </c>
      <c r="T273" s="6">
        <v>540.96</v>
      </c>
      <c r="U273" t="s">
        <v>92</v>
      </c>
      <c r="V273" t="s">
        <v>1686</v>
      </c>
      <c r="W273" t="s">
        <v>1678</v>
      </c>
      <c r="X273" t="s">
        <v>1683</v>
      </c>
      <c r="Y273" t="s">
        <v>1679</v>
      </c>
      <c r="Z273" t="s">
        <v>1684</v>
      </c>
      <c r="AA273" t="s">
        <v>872</v>
      </c>
      <c r="AB273">
        <v>146</v>
      </c>
      <c r="AC273">
        <v>16</v>
      </c>
      <c r="AE273">
        <v>45</v>
      </c>
      <c r="AH273" t="s">
        <v>36</v>
      </c>
    </row>
    <row r="274" spans="1:34" x14ac:dyDescent="0.25">
      <c r="A274">
        <v>273</v>
      </c>
      <c r="B274" s="5">
        <v>479142780</v>
      </c>
      <c r="C274" s="5">
        <v>19199984776</v>
      </c>
      <c r="D274">
        <v>6456</v>
      </c>
      <c r="E274" s="1" t="s">
        <v>1689</v>
      </c>
      <c r="F274" t="s">
        <v>873</v>
      </c>
      <c r="G274" t="s">
        <v>874</v>
      </c>
      <c r="H274">
        <v>31078</v>
      </c>
      <c r="I274">
        <v>35773038</v>
      </c>
      <c r="L274" s="2">
        <v>38154</v>
      </c>
      <c r="M274" s="3">
        <f t="shared" si="4"/>
        <v>2004</v>
      </c>
      <c r="N274" s="2" t="s">
        <v>28</v>
      </c>
      <c r="O274">
        <v>209</v>
      </c>
      <c r="P274" s="6">
        <v>12930</v>
      </c>
      <c r="Q274">
        <v>6465</v>
      </c>
      <c r="R274">
        <v>2586</v>
      </c>
      <c r="S274">
        <v>242</v>
      </c>
      <c r="T274" s="6">
        <v>702.24</v>
      </c>
      <c r="U274" t="s">
        <v>34</v>
      </c>
      <c r="V274" t="s">
        <v>1677</v>
      </c>
      <c r="W274" t="s">
        <v>1678</v>
      </c>
      <c r="X274" t="s">
        <v>1675</v>
      </c>
      <c r="Y274" t="s">
        <v>1679</v>
      </c>
      <c r="Z274" t="s">
        <v>1680</v>
      </c>
      <c r="AA274" t="s">
        <v>875</v>
      </c>
      <c r="AB274">
        <v>59</v>
      </c>
      <c r="AC274">
        <v>4</v>
      </c>
      <c r="AE274">
        <v>164</v>
      </c>
      <c r="AH274" t="s">
        <v>36</v>
      </c>
    </row>
    <row r="275" spans="1:34" x14ac:dyDescent="0.25">
      <c r="A275">
        <v>274</v>
      </c>
      <c r="B275" s="5">
        <v>227546734</v>
      </c>
      <c r="C275" s="5">
        <v>69998363044</v>
      </c>
      <c r="D275">
        <v>3362</v>
      </c>
      <c r="E275" s="1" t="s">
        <v>1689</v>
      </c>
      <c r="F275" t="s">
        <v>876</v>
      </c>
      <c r="G275" t="s">
        <v>877</v>
      </c>
      <c r="H275">
        <v>33720</v>
      </c>
      <c r="I275">
        <v>44499392</v>
      </c>
      <c r="L275" s="2">
        <v>42994</v>
      </c>
      <c r="M275" s="3">
        <f t="shared" si="4"/>
        <v>2017</v>
      </c>
      <c r="N275" s="2" t="s">
        <v>28</v>
      </c>
      <c r="O275">
        <v>198</v>
      </c>
      <c r="P275" s="6">
        <v>3972</v>
      </c>
      <c r="Q275">
        <v>1986</v>
      </c>
      <c r="R275">
        <v>794.40000000000009</v>
      </c>
      <c r="S275">
        <v>308</v>
      </c>
      <c r="T275" s="6">
        <v>665.28000000000009</v>
      </c>
      <c r="U275" t="s">
        <v>157</v>
      </c>
      <c r="V275" t="s">
        <v>1682</v>
      </c>
      <c r="W275" t="s">
        <v>1687</v>
      </c>
      <c r="X275" t="s">
        <v>1683</v>
      </c>
      <c r="Y275" t="s">
        <v>1679</v>
      </c>
      <c r="Z275" t="s">
        <v>1684</v>
      </c>
      <c r="AA275" t="s">
        <v>878</v>
      </c>
      <c r="AB275">
        <v>30</v>
      </c>
      <c r="AC275">
        <v>40</v>
      </c>
      <c r="AE275">
        <v>148</v>
      </c>
      <c r="AH275" t="s">
        <v>98</v>
      </c>
    </row>
    <row r="276" spans="1:34" x14ac:dyDescent="0.25">
      <c r="A276">
        <v>275</v>
      </c>
      <c r="B276" s="5">
        <v>659376558</v>
      </c>
      <c r="C276" s="5">
        <v>92396336337</v>
      </c>
      <c r="D276">
        <v>4058</v>
      </c>
      <c r="E276" s="1" t="s">
        <v>1689</v>
      </c>
      <c r="F276" t="s">
        <v>879</v>
      </c>
      <c r="G276" t="s">
        <v>880</v>
      </c>
      <c r="H276">
        <v>31686</v>
      </c>
      <c r="I276">
        <v>24266793</v>
      </c>
      <c r="L276" s="2">
        <v>38256</v>
      </c>
      <c r="M276" s="3">
        <f t="shared" si="4"/>
        <v>2004</v>
      </c>
      <c r="N276" s="2">
        <v>40766</v>
      </c>
      <c r="O276">
        <v>215</v>
      </c>
      <c r="P276" s="6">
        <v>10642</v>
      </c>
      <c r="Q276">
        <v>5321</v>
      </c>
      <c r="R276">
        <v>2128.4</v>
      </c>
      <c r="S276">
        <v>220</v>
      </c>
      <c r="T276" s="6">
        <v>722.4</v>
      </c>
      <c r="U276" t="s">
        <v>44</v>
      </c>
      <c r="V276" t="s">
        <v>1682</v>
      </c>
      <c r="W276" t="s">
        <v>1681</v>
      </c>
      <c r="X276" t="s">
        <v>1683</v>
      </c>
      <c r="Y276" t="s">
        <v>1679</v>
      </c>
      <c r="Z276" t="s">
        <v>1684</v>
      </c>
      <c r="AA276" t="s">
        <v>881</v>
      </c>
      <c r="AB276">
        <v>102</v>
      </c>
      <c r="AC276">
        <v>46</v>
      </c>
      <c r="AE276">
        <v>6</v>
      </c>
      <c r="AH276" t="s">
        <v>41</v>
      </c>
    </row>
    <row r="277" spans="1:34" x14ac:dyDescent="0.25">
      <c r="A277">
        <v>276</v>
      </c>
      <c r="B277" s="5">
        <v>742567433</v>
      </c>
      <c r="C277" s="5">
        <v>28671374661</v>
      </c>
      <c r="D277">
        <v>7099</v>
      </c>
      <c r="E277" s="1" t="s">
        <v>1689</v>
      </c>
      <c r="F277" t="s">
        <v>882</v>
      </c>
      <c r="G277" t="s">
        <v>883</v>
      </c>
      <c r="H277">
        <v>27623</v>
      </c>
      <c r="I277">
        <v>44027431</v>
      </c>
      <c r="L277" s="2">
        <v>34567</v>
      </c>
      <c r="M277" s="3">
        <f t="shared" si="4"/>
        <v>1994</v>
      </c>
      <c r="N277" s="2" t="s">
        <v>28</v>
      </c>
      <c r="O277">
        <v>224</v>
      </c>
      <c r="P277" s="6">
        <v>12763</v>
      </c>
      <c r="Q277">
        <v>6381.5</v>
      </c>
      <c r="R277">
        <v>2552.6000000000004</v>
      </c>
      <c r="S277">
        <v>308</v>
      </c>
      <c r="T277" s="6">
        <v>752.64</v>
      </c>
      <c r="U277" t="s">
        <v>96</v>
      </c>
      <c r="V277" t="s">
        <v>1686</v>
      </c>
      <c r="W277" t="s">
        <v>1687</v>
      </c>
      <c r="X277" t="s">
        <v>1683</v>
      </c>
      <c r="Y277" t="s">
        <v>1679</v>
      </c>
      <c r="Z277" t="s">
        <v>1684</v>
      </c>
      <c r="AA277" t="s">
        <v>884</v>
      </c>
      <c r="AB277">
        <v>101</v>
      </c>
      <c r="AC277">
        <v>3</v>
      </c>
      <c r="AE277">
        <v>85</v>
      </c>
      <c r="AH277" t="s">
        <v>98</v>
      </c>
    </row>
    <row r="278" spans="1:34" x14ac:dyDescent="0.25">
      <c r="A278">
        <v>277</v>
      </c>
      <c r="B278" s="5">
        <v>239399140</v>
      </c>
      <c r="C278" s="3">
        <v>4089857305</v>
      </c>
      <c r="D278">
        <v>7053</v>
      </c>
      <c r="E278" s="1" t="s">
        <v>1688</v>
      </c>
      <c r="F278" t="s">
        <v>885</v>
      </c>
      <c r="G278" t="s">
        <v>886</v>
      </c>
      <c r="H278">
        <v>28249</v>
      </c>
      <c r="I278">
        <v>42747272</v>
      </c>
      <c r="L278" s="2">
        <v>38626</v>
      </c>
      <c r="M278" s="3">
        <f t="shared" si="4"/>
        <v>2005</v>
      </c>
      <c r="N278" s="2" t="s">
        <v>28</v>
      </c>
      <c r="O278">
        <v>230</v>
      </c>
      <c r="P278" s="6">
        <v>3208</v>
      </c>
      <c r="Q278">
        <v>1604</v>
      </c>
      <c r="R278">
        <v>641.6</v>
      </c>
      <c r="S278">
        <v>286</v>
      </c>
      <c r="T278" s="6">
        <v>772.80000000000007</v>
      </c>
      <c r="U278" t="s">
        <v>140</v>
      </c>
      <c r="V278" t="s">
        <v>1682</v>
      </c>
      <c r="W278" t="s">
        <v>1678</v>
      </c>
      <c r="X278" t="s">
        <v>1683</v>
      </c>
      <c r="Y278" t="s">
        <v>1679</v>
      </c>
      <c r="Z278" t="s">
        <v>1684</v>
      </c>
      <c r="AA278" t="s">
        <v>887</v>
      </c>
      <c r="AB278">
        <v>110</v>
      </c>
      <c r="AC278">
        <v>53</v>
      </c>
      <c r="AE278">
        <v>178</v>
      </c>
      <c r="AH278" t="s">
        <v>36</v>
      </c>
    </row>
    <row r="279" spans="1:34" x14ac:dyDescent="0.25">
      <c r="A279">
        <v>278</v>
      </c>
      <c r="B279" s="5">
        <v>880941696</v>
      </c>
      <c r="C279" s="5">
        <v>34356868253</v>
      </c>
      <c r="D279">
        <v>4712</v>
      </c>
      <c r="E279" s="1" t="s">
        <v>1689</v>
      </c>
      <c r="F279" t="s">
        <v>888</v>
      </c>
      <c r="G279" t="s">
        <v>889</v>
      </c>
      <c r="H279">
        <v>26321</v>
      </c>
      <c r="I279">
        <v>25773490</v>
      </c>
      <c r="L279" s="2">
        <v>35409</v>
      </c>
      <c r="M279" s="3">
        <f t="shared" si="4"/>
        <v>1996</v>
      </c>
      <c r="N279" s="2">
        <v>35773</v>
      </c>
      <c r="O279">
        <v>237</v>
      </c>
      <c r="P279" s="6">
        <v>16801</v>
      </c>
      <c r="Q279">
        <v>8400.5</v>
      </c>
      <c r="R279">
        <v>3360.2000000000003</v>
      </c>
      <c r="S279">
        <v>198</v>
      </c>
      <c r="T279" s="6">
        <v>796.32</v>
      </c>
      <c r="U279" t="s">
        <v>164</v>
      </c>
      <c r="V279" t="s">
        <v>1677</v>
      </c>
      <c r="W279" t="s">
        <v>1674</v>
      </c>
      <c r="X279" t="s">
        <v>1675</v>
      </c>
      <c r="Y279" t="s">
        <v>1679</v>
      </c>
      <c r="Z279" t="s">
        <v>1680</v>
      </c>
      <c r="AA279" t="s">
        <v>890</v>
      </c>
      <c r="AB279">
        <v>68</v>
      </c>
      <c r="AC279">
        <v>44</v>
      </c>
      <c r="AE279">
        <v>73</v>
      </c>
      <c r="AH279" t="s">
        <v>31</v>
      </c>
    </row>
    <row r="280" spans="1:34" x14ac:dyDescent="0.25">
      <c r="A280">
        <v>279</v>
      </c>
      <c r="B280" s="5">
        <v>592764563</v>
      </c>
      <c r="C280" s="5">
        <v>98727687805</v>
      </c>
      <c r="D280">
        <v>1950</v>
      </c>
      <c r="E280" s="1" t="s">
        <v>1688</v>
      </c>
      <c r="F280" t="s">
        <v>891</v>
      </c>
      <c r="G280" t="s">
        <v>892</v>
      </c>
      <c r="H280">
        <v>26770</v>
      </c>
      <c r="I280">
        <v>29192121</v>
      </c>
      <c r="L280" s="2">
        <v>37914</v>
      </c>
      <c r="M280" s="3">
        <f t="shared" si="4"/>
        <v>2003</v>
      </c>
      <c r="N280" s="2" t="s">
        <v>28</v>
      </c>
      <c r="O280">
        <v>229</v>
      </c>
      <c r="P280" s="6">
        <v>20199</v>
      </c>
      <c r="Q280">
        <v>10099.5</v>
      </c>
      <c r="R280">
        <v>4039.8</v>
      </c>
      <c r="S280">
        <v>242</v>
      </c>
      <c r="T280" s="6">
        <v>769.44</v>
      </c>
      <c r="U280" t="s">
        <v>68</v>
      </c>
      <c r="V280" t="s">
        <v>1686</v>
      </c>
      <c r="W280" t="s">
        <v>1681</v>
      </c>
      <c r="X280" t="s">
        <v>1683</v>
      </c>
      <c r="Y280" t="s">
        <v>1679</v>
      </c>
      <c r="Z280" t="s">
        <v>1684</v>
      </c>
      <c r="AA280" t="s">
        <v>893</v>
      </c>
      <c r="AB280">
        <v>119</v>
      </c>
      <c r="AC280">
        <v>40</v>
      </c>
      <c r="AE280">
        <v>88</v>
      </c>
      <c r="AH280" t="s">
        <v>41</v>
      </c>
    </row>
    <row r="281" spans="1:34" x14ac:dyDescent="0.25">
      <c r="A281">
        <v>280</v>
      </c>
      <c r="B281" s="5">
        <v>873602136</v>
      </c>
      <c r="C281" s="5">
        <v>61115281636</v>
      </c>
      <c r="D281">
        <v>5517</v>
      </c>
      <c r="E281" s="1" t="s">
        <v>1689</v>
      </c>
      <c r="F281" t="s">
        <v>894</v>
      </c>
      <c r="G281" t="s">
        <v>895</v>
      </c>
      <c r="H281">
        <v>29728</v>
      </c>
      <c r="I281">
        <v>36375961</v>
      </c>
      <c r="L281" s="2">
        <v>40222</v>
      </c>
      <c r="M281" s="3">
        <f t="shared" si="4"/>
        <v>2010</v>
      </c>
      <c r="N281" s="2" t="s">
        <v>28</v>
      </c>
      <c r="O281">
        <v>179</v>
      </c>
      <c r="P281" s="6">
        <v>2918</v>
      </c>
      <c r="Q281">
        <v>1459</v>
      </c>
      <c r="R281">
        <v>583.6</v>
      </c>
      <c r="S281">
        <v>242</v>
      </c>
      <c r="T281" s="6">
        <v>601.44000000000005</v>
      </c>
      <c r="U281" t="s">
        <v>64</v>
      </c>
      <c r="V281" t="s">
        <v>1682</v>
      </c>
      <c r="W281" t="s">
        <v>1685</v>
      </c>
      <c r="X281" t="s">
        <v>1683</v>
      </c>
      <c r="Y281" t="s">
        <v>1679</v>
      </c>
      <c r="Z281" t="s">
        <v>1684</v>
      </c>
      <c r="AA281" t="s">
        <v>896</v>
      </c>
      <c r="AB281">
        <v>140</v>
      </c>
      <c r="AC281">
        <v>23</v>
      </c>
      <c r="AE281">
        <v>87</v>
      </c>
      <c r="AH281" t="s">
        <v>57</v>
      </c>
    </row>
    <row r="282" spans="1:34" x14ac:dyDescent="0.25">
      <c r="A282">
        <v>281</v>
      </c>
      <c r="B282" s="5">
        <v>906722059</v>
      </c>
      <c r="C282" s="5">
        <v>71566816037</v>
      </c>
      <c r="D282">
        <v>4300</v>
      </c>
      <c r="E282" s="1" t="s">
        <v>1688</v>
      </c>
      <c r="F282" t="s">
        <v>897</v>
      </c>
      <c r="G282" t="s">
        <v>898</v>
      </c>
      <c r="H282">
        <v>31403</v>
      </c>
      <c r="I282">
        <v>41608892</v>
      </c>
      <c r="L282" s="2">
        <v>41831</v>
      </c>
      <c r="M282" s="3">
        <f t="shared" si="4"/>
        <v>2014</v>
      </c>
      <c r="N282" s="2" t="s">
        <v>28</v>
      </c>
      <c r="O282">
        <v>171</v>
      </c>
      <c r="P282" s="6">
        <v>19264</v>
      </c>
      <c r="Q282">
        <v>9632</v>
      </c>
      <c r="R282">
        <v>3852.8</v>
      </c>
      <c r="S282">
        <v>264</v>
      </c>
      <c r="T282" s="6">
        <v>574.55999999999995</v>
      </c>
      <c r="U282" t="s">
        <v>29</v>
      </c>
      <c r="V282" t="s">
        <v>1673</v>
      </c>
      <c r="W282" t="s">
        <v>1674</v>
      </c>
      <c r="X282" t="s">
        <v>1675</v>
      </c>
      <c r="Y282" t="s">
        <v>61</v>
      </c>
      <c r="Z282" t="s">
        <v>1676</v>
      </c>
      <c r="AA282" t="s">
        <v>899</v>
      </c>
      <c r="AB282">
        <v>47</v>
      </c>
      <c r="AC282">
        <v>0</v>
      </c>
      <c r="AE282">
        <v>188</v>
      </c>
      <c r="AH282" t="s">
        <v>31</v>
      </c>
    </row>
    <row r="283" spans="1:34" x14ac:dyDescent="0.25">
      <c r="A283">
        <v>282</v>
      </c>
      <c r="B283" s="5">
        <v>861008612</v>
      </c>
      <c r="C283" s="5">
        <v>85003539784</v>
      </c>
      <c r="D283">
        <v>6194</v>
      </c>
      <c r="E283" s="1" t="s">
        <v>1689</v>
      </c>
      <c r="F283" t="s">
        <v>900</v>
      </c>
      <c r="G283" t="s">
        <v>901</v>
      </c>
      <c r="H283">
        <v>27915</v>
      </c>
      <c r="I283">
        <v>47611751</v>
      </c>
      <c r="L283" s="2">
        <v>39264</v>
      </c>
      <c r="M283" s="3">
        <f t="shared" si="4"/>
        <v>2007</v>
      </c>
      <c r="N283" s="2" t="s">
        <v>28</v>
      </c>
      <c r="O283">
        <v>172</v>
      </c>
      <c r="P283" s="6">
        <v>23024</v>
      </c>
      <c r="Q283">
        <v>11512</v>
      </c>
      <c r="R283">
        <v>4604.8</v>
      </c>
      <c r="S283">
        <v>176</v>
      </c>
      <c r="T283" s="6">
        <v>577.92000000000007</v>
      </c>
      <c r="U283" t="s">
        <v>140</v>
      </c>
      <c r="V283" t="s">
        <v>1682</v>
      </c>
      <c r="W283" t="s">
        <v>1678</v>
      </c>
      <c r="X283" t="s">
        <v>1683</v>
      </c>
      <c r="Y283" t="s">
        <v>1679</v>
      </c>
      <c r="Z283" t="s">
        <v>1684</v>
      </c>
      <c r="AA283" t="s">
        <v>902</v>
      </c>
      <c r="AB283">
        <v>24</v>
      </c>
      <c r="AC283">
        <v>1</v>
      </c>
      <c r="AE283">
        <v>98</v>
      </c>
      <c r="AH283" t="s">
        <v>36</v>
      </c>
    </row>
    <row r="284" spans="1:34" x14ac:dyDescent="0.25">
      <c r="A284">
        <v>283</v>
      </c>
      <c r="B284" s="5">
        <v>518862052</v>
      </c>
      <c r="C284" s="5">
        <v>32551184304</v>
      </c>
      <c r="D284">
        <v>4703</v>
      </c>
      <c r="E284" s="1" t="s">
        <v>1689</v>
      </c>
      <c r="F284" t="s">
        <v>903</v>
      </c>
      <c r="G284" t="s">
        <v>904</v>
      </c>
      <c r="H284">
        <v>31657</v>
      </c>
      <c r="I284">
        <v>42197115</v>
      </c>
      <c r="L284" s="2">
        <v>38227</v>
      </c>
      <c r="M284" s="3">
        <f t="shared" si="4"/>
        <v>2004</v>
      </c>
      <c r="N284" s="2" t="s">
        <v>28</v>
      </c>
      <c r="O284">
        <v>222</v>
      </c>
      <c r="P284" s="6">
        <v>9875</v>
      </c>
      <c r="Q284">
        <v>4937.5</v>
      </c>
      <c r="R284">
        <v>1975</v>
      </c>
      <c r="S284">
        <v>242</v>
      </c>
      <c r="T284" s="6">
        <v>745.92000000000007</v>
      </c>
      <c r="U284" t="s">
        <v>92</v>
      </c>
      <c r="V284" t="s">
        <v>1686</v>
      </c>
      <c r="W284" t="s">
        <v>1678</v>
      </c>
      <c r="X284" t="s">
        <v>1683</v>
      </c>
      <c r="Y284" t="s">
        <v>1679</v>
      </c>
      <c r="Z284" t="s">
        <v>1684</v>
      </c>
      <c r="AA284" t="s">
        <v>905</v>
      </c>
      <c r="AB284">
        <v>131</v>
      </c>
      <c r="AC284">
        <v>34</v>
      </c>
      <c r="AE284">
        <v>81</v>
      </c>
      <c r="AH284" t="s">
        <v>36</v>
      </c>
    </row>
    <row r="285" spans="1:34" x14ac:dyDescent="0.25">
      <c r="A285">
        <v>284</v>
      </c>
      <c r="B285" s="5">
        <v>341053775</v>
      </c>
      <c r="C285" s="5">
        <v>60605722970</v>
      </c>
      <c r="D285">
        <v>4089</v>
      </c>
      <c r="E285" s="1" t="s">
        <v>1689</v>
      </c>
      <c r="F285" t="s">
        <v>906</v>
      </c>
      <c r="G285" t="s">
        <v>907</v>
      </c>
      <c r="H285">
        <v>30670</v>
      </c>
      <c r="I285">
        <v>37765556</v>
      </c>
      <c r="L285" s="2">
        <v>40482</v>
      </c>
      <c r="M285" s="3">
        <f t="shared" si="4"/>
        <v>2010</v>
      </c>
      <c r="N285" s="2" t="s">
        <v>28</v>
      </c>
      <c r="O285">
        <v>160</v>
      </c>
      <c r="P285" s="6">
        <v>1917</v>
      </c>
      <c r="Q285">
        <v>958.5</v>
      </c>
      <c r="R285">
        <v>383.40000000000003</v>
      </c>
      <c r="S285">
        <v>286</v>
      </c>
      <c r="T285" s="6">
        <v>537.6</v>
      </c>
      <c r="U285" t="s">
        <v>34</v>
      </c>
      <c r="V285" t="s">
        <v>1677</v>
      </c>
      <c r="W285" t="s">
        <v>1678</v>
      </c>
      <c r="X285" t="s">
        <v>1675</v>
      </c>
      <c r="Y285" t="s">
        <v>1679</v>
      </c>
      <c r="Z285" t="s">
        <v>1680</v>
      </c>
      <c r="AA285" t="s">
        <v>908</v>
      </c>
      <c r="AB285">
        <v>121</v>
      </c>
      <c r="AC285">
        <v>22</v>
      </c>
      <c r="AE285">
        <v>172</v>
      </c>
      <c r="AH285" t="s">
        <v>36</v>
      </c>
    </row>
    <row r="286" spans="1:34" x14ac:dyDescent="0.25">
      <c r="A286">
        <v>285</v>
      </c>
      <c r="B286" s="5">
        <v>593562323</v>
      </c>
      <c r="C286" s="5">
        <v>62650733069</v>
      </c>
      <c r="D286">
        <v>1968</v>
      </c>
      <c r="E286" s="1" t="s">
        <v>1689</v>
      </c>
      <c r="F286" t="s">
        <v>909</v>
      </c>
      <c r="G286" t="s">
        <v>910</v>
      </c>
      <c r="H286">
        <v>27340</v>
      </c>
      <c r="I286">
        <v>43057306</v>
      </c>
      <c r="L286" s="2">
        <v>38186</v>
      </c>
      <c r="M286" s="3">
        <f t="shared" si="4"/>
        <v>2004</v>
      </c>
      <c r="N286" s="2" t="s">
        <v>28</v>
      </c>
      <c r="O286">
        <v>182</v>
      </c>
      <c r="P286" s="6">
        <v>24399</v>
      </c>
      <c r="Q286">
        <v>12199.5</v>
      </c>
      <c r="R286">
        <v>4879.8</v>
      </c>
      <c r="S286">
        <v>220</v>
      </c>
      <c r="T286" s="6">
        <v>611.52</v>
      </c>
      <c r="U286" t="s">
        <v>39</v>
      </c>
      <c r="V286" t="s">
        <v>1677</v>
      </c>
      <c r="W286" t="s">
        <v>1681</v>
      </c>
      <c r="X286" t="s">
        <v>1675</v>
      </c>
      <c r="Y286" t="s">
        <v>1679</v>
      </c>
      <c r="Z286" t="s">
        <v>1680</v>
      </c>
      <c r="AA286" t="s">
        <v>911</v>
      </c>
      <c r="AB286">
        <v>61</v>
      </c>
      <c r="AC286">
        <v>48</v>
      </c>
      <c r="AE286">
        <v>57</v>
      </c>
      <c r="AH286" t="s">
        <v>41</v>
      </c>
    </row>
    <row r="287" spans="1:34" x14ac:dyDescent="0.25">
      <c r="A287">
        <v>286</v>
      </c>
      <c r="B287" s="5">
        <v>441345543</v>
      </c>
      <c r="C287" s="5">
        <v>82344280083</v>
      </c>
      <c r="D287">
        <v>5984</v>
      </c>
      <c r="E287" s="1" t="s">
        <v>1689</v>
      </c>
      <c r="F287" t="s">
        <v>912</v>
      </c>
      <c r="G287" t="s">
        <v>913</v>
      </c>
      <c r="H287">
        <v>29515</v>
      </c>
      <c r="I287">
        <v>33440265</v>
      </c>
      <c r="L287" s="2">
        <v>42913</v>
      </c>
      <c r="M287" s="3">
        <f t="shared" si="4"/>
        <v>2017</v>
      </c>
      <c r="N287" s="2" t="s">
        <v>28</v>
      </c>
      <c r="O287">
        <v>167</v>
      </c>
      <c r="P287" s="6">
        <v>8689</v>
      </c>
      <c r="Q287">
        <v>4344.5</v>
      </c>
      <c r="R287">
        <v>1737.8000000000002</v>
      </c>
      <c r="S287">
        <v>308</v>
      </c>
      <c r="T287" s="6">
        <v>561.12</v>
      </c>
      <c r="U287" t="s">
        <v>140</v>
      </c>
      <c r="V287" t="s">
        <v>1682</v>
      </c>
      <c r="W287" t="s">
        <v>1678</v>
      </c>
      <c r="X287" t="s">
        <v>1683</v>
      </c>
      <c r="Y287" t="s">
        <v>1679</v>
      </c>
      <c r="Z287" t="s">
        <v>1684</v>
      </c>
      <c r="AA287" t="s">
        <v>914</v>
      </c>
      <c r="AB287">
        <v>79</v>
      </c>
      <c r="AC287">
        <v>40</v>
      </c>
      <c r="AE287">
        <v>69</v>
      </c>
      <c r="AH287" t="s">
        <v>36</v>
      </c>
    </row>
    <row r="288" spans="1:34" x14ac:dyDescent="0.25">
      <c r="A288">
        <v>287</v>
      </c>
      <c r="B288" s="5">
        <v>192219632</v>
      </c>
      <c r="C288" s="5">
        <v>36307156622</v>
      </c>
      <c r="D288">
        <v>4628</v>
      </c>
      <c r="E288" s="1" t="s">
        <v>1689</v>
      </c>
      <c r="F288" t="s">
        <v>915</v>
      </c>
      <c r="G288" t="s">
        <v>916</v>
      </c>
      <c r="H288">
        <v>35916</v>
      </c>
      <c r="I288">
        <v>24966863</v>
      </c>
      <c r="L288" s="2">
        <v>42486</v>
      </c>
      <c r="M288" s="3">
        <f t="shared" si="4"/>
        <v>2016</v>
      </c>
      <c r="N288" s="2" t="s">
        <v>28</v>
      </c>
      <c r="O288">
        <v>182</v>
      </c>
      <c r="P288" s="6">
        <v>7462</v>
      </c>
      <c r="Q288">
        <v>3731</v>
      </c>
      <c r="R288">
        <v>1492.4</v>
      </c>
      <c r="S288">
        <v>154</v>
      </c>
      <c r="T288" s="6">
        <v>611.52</v>
      </c>
      <c r="U288" t="s">
        <v>82</v>
      </c>
      <c r="V288" t="s">
        <v>1677</v>
      </c>
      <c r="W288" t="s">
        <v>1685</v>
      </c>
      <c r="X288" t="s">
        <v>1675</v>
      </c>
      <c r="Y288" t="s">
        <v>1679</v>
      </c>
      <c r="Z288" t="s">
        <v>1680</v>
      </c>
      <c r="AA288" t="s">
        <v>917</v>
      </c>
      <c r="AB288">
        <v>113</v>
      </c>
      <c r="AC288">
        <v>30</v>
      </c>
      <c r="AE288">
        <v>145</v>
      </c>
      <c r="AH288" t="s">
        <v>57</v>
      </c>
    </row>
    <row r="289" spans="1:34" x14ac:dyDescent="0.25">
      <c r="A289">
        <v>288</v>
      </c>
      <c r="B289" s="5">
        <v>152639143</v>
      </c>
      <c r="C289" s="5">
        <v>94053918847</v>
      </c>
      <c r="D289">
        <v>6255</v>
      </c>
      <c r="E289" s="1" t="s">
        <v>1688</v>
      </c>
      <c r="F289" t="s">
        <v>918</v>
      </c>
      <c r="G289" t="s">
        <v>919</v>
      </c>
      <c r="H289">
        <v>31241</v>
      </c>
      <c r="I289">
        <v>33862086</v>
      </c>
      <c r="L289" s="2">
        <v>40483</v>
      </c>
      <c r="M289" s="3">
        <f t="shared" si="4"/>
        <v>2010</v>
      </c>
      <c r="N289" s="2" t="s">
        <v>28</v>
      </c>
      <c r="O289">
        <v>178</v>
      </c>
      <c r="P289" s="6">
        <v>2318</v>
      </c>
      <c r="Q289">
        <v>1159</v>
      </c>
      <c r="R289">
        <v>463.6</v>
      </c>
      <c r="S289">
        <v>176</v>
      </c>
      <c r="T289" s="6">
        <v>598.07999999999993</v>
      </c>
      <c r="U289" t="s">
        <v>39</v>
      </c>
      <c r="V289" t="s">
        <v>1677</v>
      </c>
      <c r="W289" t="s">
        <v>1681</v>
      </c>
      <c r="X289" t="s">
        <v>1675</v>
      </c>
      <c r="Y289" t="s">
        <v>1679</v>
      </c>
      <c r="Z289" t="s">
        <v>1680</v>
      </c>
      <c r="AA289" t="s">
        <v>920</v>
      </c>
      <c r="AB289">
        <v>123</v>
      </c>
      <c r="AC289">
        <v>26</v>
      </c>
      <c r="AE289">
        <v>75</v>
      </c>
      <c r="AH289" t="s">
        <v>41</v>
      </c>
    </row>
    <row r="290" spans="1:34" x14ac:dyDescent="0.25">
      <c r="A290">
        <v>289</v>
      </c>
      <c r="B290" s="5">
        <v>541359983</v>
      </c>
      <c r="C290" s="5">
        <v>43314300537</v>
      </c>
      <c r="D290">
        <v>3837</v>
      </c>
      <c r="E290" s="1" t="s">
        <v>1688</v>
      </c>
      <c r="F290" t="s">
        <v>921</v>
      </c>
      <c r="G290" t="s">
        <v>922</v>
      </c>
      <c r="H290">
        <v>29897</v>
      </c>
      <c r="I290">
        <v>32415829</v>
      </c>
      <c r="L290" s="2">
        <v>40758</v>
      </c>
      <c r="M290" s="3">
        <f t="shared" si="4"/>
        <v>2011</v>
      </c>
      <c r="N290" s="2" t="s">
        <v>28</v>
      </c>
      <c r="O290">
        <v>204</v>
      </c>
      <c r="P290" s="6">
        <v>21284</v>
      </c>
      <c r="Q290">
        <v>10642</v>
      </c>
      <c r="R290">
        <v>4256.8</v>
      </c>
      <c r="S290">
        <v>220</v>
      </c>
      <c r="T290" s="6">
        <v>685.44</v>
      </c>
      <c r="U290" t="s">
        <v>790</v>
      </c>
      <c r="V290" t="s">
        <v>1673</v>
      </c>
      <c r="W290" t="s">
        <v>1687</v>
      </c>
      <c r="X290" t="s">
        <v>1675</v>
      </c>
      <c r="Y290" t="s">
        <v>61</v>
      </c>
      <c r="Z290" t="s">
        <v>1676</v>
      </c>
      <c r="AA290" t="s">
        <v>923</v>
      </c>
      <c r="AB290">
        <v>97</v>
      </c>
      <c r="AC290">
        <v>20</v>
      </c>
      <c r="AE290">
        <v>178</v>
      </c>
      <c r="AH290" t="s">
        <v>98</v>
      </c>
    </row>
    <row r="291" spans="1:34" x14ac:dyDescent="0.25">
      <c r="A291">
        <v>290</v>
      </c>
      <c r="B291" s="5">
        <v>309821813</v>
      </c>
      <c r="C291" s="5">
        <v>40454023848</v>
      </c>
      <c r="D291">
        <v>3705</v>
      </c>
      <c r="E291" s="1" t="s">
        <v>1688</v>
      </c>
      <c r="F291" t="s">
        <v>924</v>
      </c>
      <c r="G291" t="s">
        <v>925</v>
      </c>
      <c r="H291">
        <v>34600</v>
      </c>
      <c r="I291">
        <v>31789201</v>
      </c>
      <c r="L291" s="2">
        <v>41170</v>
      </c>
      <c r="M291" s="3">
        <f t="shared" si="4"/>
        <v>2012</v>
      </c>
      <c r="N291" s="2" t="s">
        <v>28</v>
      </c>
      <c r="O291">
        <v>151</v>
      </c>
      <c r="P291" s="6">
        <v>18385</v>
      </c>
      <c r="Q291">
        <v>9192.5</v>
      </c>
      <c r="R291">
        <v>3677</v>
      </c>
      <c r="S291">
        <v>198</v>
      </c>
      <c r="T291" s="6">
        <v>507.36</v>
      </c>
      <c r="U291" t="s">
        <v>317</v>
      </c>
      <c r="V291" t="s">
        <v>1680</v>
      </c>
      <c r="W291" t="s">
        <v>1681</v>
      </c>
      <c r="X291" t="s">
        <v>1675</v>
      </c>
      <c r="Y291" t="s">
        <v>61</v>
      </c>
      <c r="Z291" t="s">
        <v>1684</v>
      </c>
      <c r="AA291" t="s">
        <v>926</v>
      </c>
      <c r="AB291">
        <v>70</v>
      </c>
      <c r="AC291">
        <v>14</v>
      </c>
      <c r="AE291">
        <v>29</v>
      </c>
      <c r="AH291" t="s">
        <v>41</v>
      </c>
    </row>
    <row r="292" spans="1:34" x14ac:dyDescent="0.25">
      <c r="A292">
        <v>291</v>
      </c>
      <c r="B292" s="5">
        <v>774975977</v>
      </c>
      <c r="C292" s="5">
        <v>73829948092</v>
      </c>
      <c r="D292">
        <v>1182</v>
      </c>
      <c r="E292" s="1" t="s">
        <v>1689</v>
      </c>
      <c r="F292" t="s">
        <v>927</v>
      </c>
      <c r="G292" t="s">
        <v>928</v>
      </c>
      <c r="H292">
        <v>33931</v>
      </c>
      <c r="I292">
        <v>44730740</v>
      </c>
      <c r="L292" s="2">
        <v>41136</v>
      </c>
      <c r="M292" s="3">
        <f t="shared" si="4"/>
        <v>2012</v>
      </c>
      <c r="N292" s="2" t="s">
        <v>28</v>
      </c>
      <c r="O292">
        <v>194</v>
      </c>
      <c r="P292" s="6">
        <v>11599</v>
      </c>
      <c r="Q292">
        <v>5799.5</v>
      </c>
      <c r="R292">
        <v>2319.8000000000002</v>
      </c>
      <c r="S292">
        <v>176</v>
      </c>
      <c r="T292" s="6">
        <v>651.84</v>
      </c>
      <c r="U292" t="s">
        <v>51</v>
      </c>
      <c r="V292" t="s">
        <v>1682</v>
      </c>
      <c r="W292" t="s">
        <v>1674</v>
      </c>
      <c r="X292" t="s">
        <v>1683</v>
      </c>
      <c r="Y292" t="s">
        <v>1679</v>
      </c>
      <c r="Z292" t="s">
        <v>1684</v>
      </c>
      <c r="AA292" t="s">
        <v>929</v>
      </c>
      <c r="AB292">
        <v>72</v>
      </c>
      <c r="AC292">
        <v>56</v>
      </c>
      <c r="AE292">
        <v>43</v>
      </c>
      <c r="AH292" t="s">
        <v>31</v>
      </c>
    </row>
    <row r="293" spans="1:34" x14ac:dyDescent="0.25">
      <c r="A293">
        <v>292</v>
      </c>
      <c r="B293" s="5">
        <v>863695110</v>
      </c>
      <c r="C293" s="3">
        <v>3287383935</v>
      </c>
      <c r="D293">
        <v>3689</v>
      </c>
      <c r="E293" s="1" t="s">
        <v>1689</v>
      </c>
      <c r="F293" t="s">
        <v>930</v>
      </c>
      <c r="G293" t="s">
        <v>931</v>
      </c>
      <c r="H293">
        <v>31664</v>
      </c>
      <c r="I293">
        <v>23553929</v>
      </c>
      <c r="L293" s="2">
        <v>42222</v>
      </c>
      <c r="M293" s="3">
        <f t="shared" si="4"/>
        <v>2015</v>
      </c>
      <c r="N293" s="2" t="s">
        <v>28</v>
      </c>
      <c r="O293">
        <v>154</v>
      </c>
      <c r="P293" s="6">
        <v>2432</v>
      </c>
      <c r="Q293">
        <v>1216</v>
      </c>
      <c r="R293">
        <v>486.40000000000003</v>
      </c>
      <c r="S293">
        <v>286</v>
      </c>
      <c r="T293" s="6">
        <v>517.44000000000005</v>
      </c>
      <c r="U293" t="s">
        <v>140</v>
      </c>
      <c r="V293" t="s">
        <v>1682</v>
      </c>
      <c r="W293" t="s">
        <v>1678</v>
      </c>
      <c r="X293" t="s">
        <v>1683</v>
      </c>
      <c r="Y293" t="s">
        <v>1679</v>
      </c>
      <c r="Z293" t="s">
        <v>1684</v>
      </c>
      <c r="AA293" t="s">
        <v>932</v>
      </c>
      <c r="AB293">
        <v>128</v>
      </c>
      <c r="AC293">
        <v>10</v>
      </c>
      <c r="AE293">
        <v>165</v>
      </c>
      <c r="AH293" t="s">
        <v>36</v>
      </c>
    </row>
    <row r="294" spans="1:34" x14ac:dyDescent="0.25">
      <c r="A294">
        <v>293</v>
      </c>
      <c r="B294" s="5">
        <v>247225334</v>
      </c>
      <c r="C294" s="5">
        <v>80378323293</v>
      </c>
      <c r="D294">
        <v>7294</v>
      </c>
      <c r="E294" s="1" t="s">
        <v>1688</v>
      </c>
      <c r="F294" t="s">
        <v>933</v>
      </c>
      <c r="G294" t="s">
        <v>934</v>
      </c>
      <c r="H294">
        <v>29523</v>
      </c>
      <c r="I294">
        <v>30092748</v>
      </c>
      <c r="L294" s="2">
        <v>36093</v>
      </c>
      <c r="M294" s="3">
        <f t="shared" si="4"/>
        <v>1998</v>
      </c>
      <c r="N294" s="2" t="s">
        <v>28</v>
      </c>
      <c r="O294">
        <v>191</v>
      </c>
      <c r="P294" s="6">
        <v>15433</v>
      </c>
      <c r="Q294">
        <v>7716.5</v>
      </c>
      <c r="R294">
        <v>3086.6000000000004</v>
      </c>
      <c r="S294">
        <v>220</v>
      </c>
      <c r="T294" s="6">
        <v>641.76</v>
      </c>
      <c r="U294" t="s">
        <v>150</v>
      </c>
      <c r="V294" t="s">
        <v>1680</v>
      </c>
      <c r="W294" t="s">
        <v>1674</v>
      </c>
      <c r="X294" t="s">
        <v>1675</v>
      </c>
      <c r="Y294" t="s">
        <v>61</v>
      </c>
      <c r="Z294" t="s">
        <v>1684</v>
      </c>
      <c r="AA294" t="s">
        <v>935</v>
      </c>
      <c r="AB294">
        <v>52</v>
      </c>
      <c r="AC294">
        <v>41</v>
      </c>
      <c r="AE294">
        <v>38</v>
      </c>
      <c r="AH294" t="s">
        <v>31</v>
      </c>
    </row>
    <row r="295" spans="1:34" x14ac:dyDescent="0.25">
      <c r="A295">
        <v>294</v>
      </c>
      <c r="B295" s="5">
        <v>495401275</v>
      </c>
      <c r="C295" s="5">
        <v>16960979951</v>
      </c>
      <c r="D295">
        <v>2839</v>
      </c>
      <c r="E295" s="1" t="s">
        <v>1688</v>
      </c>
      <c r="F295" t="s">
        <v>936</v>
      </c>
      <c r="G295" t="s">
        <v>937</v>
      </c>
      <c r="H295">
        <v>26108</v>
      </c>
      <c r="I295">
        <v>36802373</v>
      </c>
      <c r="L295" s="2">
        <v>37186</v>
      </c>
      <c r="M295" s="3">
        <f t="shared" si="4"/>
        <v>2001</v>
      </c>
      <c r="N295" s="2" t="s">
        <v>28</v>
      </c>
      <c r="O295">
        <v>202</v>
      </c>
      <c r="P295" s="6">
        <v>4294</v>
      </c>
      <c r="Q295">
        <v>2147</v>
      </c>
      <c r="R295">
        <v>858.80000000000007</v>
      </c>
      <c r="S295">
        <v>242</v>
      </c>
      <c r="T295" s="6">
        <v>678.71999999999991</v>
      </c>
      <c r="U295" t="s">
        <v>164</v>
      </c>
      <c r="V295" t="s">
        <v>1677</v>
      </c>
      <c r="W295" t="s">
        <v>1674</v>
      </c>
      <c r="X295" t="s">
        <v>1675</v>
      </c>
      <c r="Y295" t="s">
        <v>1679</v>
      </c>
      <c r="Z295" t="s">
        <v>1680</v>
      </c>
      <c r="AA295" t="s">
        <v>938</v>
      </c>
      <c r="AB295">
        <v>79</v>
      </c>
      <c r="AC295">
        <v>7</v>
      </c>
      <c r="AE295">
        <v>91</v>
      </c>
      <c r="AH295" t="s">
        <v>31</v>
      </c>
    </row>
    <row r="296" spans="1:34" x14ac:dyDescent="0.25">
      <c r="A296">
        <v>295</v>
      </c>
      <c r="B296" s="5">
        <v>485908652</v>
      </c>
      <c r="C296" s="5">
        <v>97038495996</v>
      </c>
      <c r="D296">
        <v>5299</v>
      </c>
      <c r="E296" s="1" t="s">
        <v>1688</v>
      </c>
      <c r="F296" t="s">
        <v>939</v>
      </c>
      <c r="G296" t="s">
        <v>940</v>
      </c>
      <c r="H296">
        <v>28352</v>
      </c>
      <c r="I296">
        <v>45729977</v>
      </c>
      <c r="L296" s="2">
        <v>41546</v>
      </c>
      <c r="M296" s="3">
        <f t="shared" si="4"/>
        <v>2013</v>
      </c>
      <c r="N296" s="2" t="s">
        <v>28</v>
      </c>
      <c r="O296">
        <v>199</v>
      </c>
      <c r="P296" s="6">
        <v>21263</v>
      </c>
      <c r="Q296">
        <v>10631.5</v>
      </c>
      <c r="R296">
        <v>4252.6000000000004</v>
      </c>
      <c r="S296">
        <v>220</v>
      </c>
      <c r="T296" s="6">
        <v>668.64</v>
      </c>
      <c r="U296" t="s">
        <v>29</v>
      </c>
      <c r="V296" t="s">
        <v>1673</v>
      </c>
      <c r="W296" t="s">
        <v>1674</v>
      </c>
      <c r="X296" t="s">
        <v>1675</v>
      </c>
      <c r="Y296" t="s">
        <v>61</v>
      </c>
      <c r="Z296" t="s">
        <v>1676</v>
      </c>
      <c r="AA296" t="s">
        <v>941</v>
      </c>
      <c r="AB296">
        <v>59</v>
      </c>
      <c r="AC296">
        <v>0</v>
      </c>
      <c r="AE296">
        <v>133</v>
      </c>
      <c r="AH296" t="s">
        <v>31</v>
      </c>
    </row>
    <row r="297" spans="1:34" x14ac:dyDescent="0.25">
      <c r="A297">
        <v>296</v>
      </c>
      <c r="B297" s="5">
        <v>145789550</v>
      </c>
      <c r="C297" s="5">
        <v>79464620395</v>
      </c>
      <c r="D297">
        <v>5752</v>
      </c>
      <c r="E297" s="1" t="s">
        <v>1688</v>
      </c>
      <c r="F297" t="s">
        <v>942</v>
      </c>
      <c r="G297" t="s">
        <v>943</v>
      </c>
      <c r="H297">
        <v>31689</v>
      </c>
      <c r="I297">
        <v>46366461</v>
      </c>
      <c r="L297" s="2">
        <v>38259</v>
      </c>
      <c r="M297" s="3">
        <f t="shared" si="4"/>
        <v>2004</v>
      </c>
      <c r="N297" s="2" t="s">
        <v>28</v>
      </c>
      <c r="O297">
        <v>169</v>
      </c>
      <c r="P297" s="6">
        <v>2623</v>
      </c>
      <c r="Q297">
        <v>1311.5</v>
      </c>
      <c r="R297">
        <v>524.6</v>
      </c>
      <c r="S297">
        <v>286</v>
      </c>
      <c r="T297" s="6">
        <v>567.84</v>
      </c>
      <c r="U297" t="s">
        <v>34</v>
      </c>
      <c r="V297" t="s">
        <v>1677</v>
      </c>
      <c r="W297" t="s">
        <v>1678</v>
      </c>
      <c r="X297" t="s">
        <v>1675</v>
      </c>
      <c r="Y297" t="s">
        <v>1679</v>
      </c>
      <c r="Z297" t="s">
        <v>1680</v>
      </c>
      <c r="AA297" t="s">
        <v>944</v>
      </c>
      <c r="AB297">
        <v>99</v>
      </c>
      <c r="AC297">
        <v>47</v>
      </c>
      <c r="AE297">
        <v>112</v>
      </c>
      <c r="AH297" t="s">
        <v>36</v>
      </c>
    </row>
    <row r="298" spans="1:34" x14ac:dyDescent="0.25">
      <c r="A298">
        <v>297</v>
      </c>
      <c r="B298" s="5">
        <v>272376769</v>
      </c>
      <c r="C298" s="5">
        <v>12755712372</v>
      </c>
      <c r="D298">
        <v>2142</v>
      </c>
      <c r="E298" s="1" t="s">
        <v>1689</v>
      </c>
      <c r="F298" t="s">
        <v>945</v>
      </c>
      <c r="G298" t="s">
        <v>946</v>
      </c>
      <c r="H298">
        <v>33876</v>
      </c>
      <c r="I298">
        <v>24028886</v>
      </c>
      <c r="L298" s="2">
        <v>40446</v>
      </c>
      <c r="M298" s="3">
        <f t="shared" si="4"/>
        <v>2010</v>
      </c>
      <c r="N298" s="2">
        <v>43105</v>
      </c>
      <c r="O298">
        <v>204</v>
      </c>
      <c r="P298" s="6">
        <v>10159</v>
      </c>
      <c r="Q298">
        <v>5079.5</v>
      </c>
      <c r="R298">
        <v>2031.8000000000002</v>
      </c>
      <c r="S298">
        <v>264</v>
      </c>
      <c r="T298" s="6">
        <v>685.44</v>
      </c>
      <c r="U298" t="s">
        <v>29</v>
      </c>
      <c r="V298" t="s">
        <v>1673</v>
      </c>
      <c r="W298" t="s">
        <v>1674</v>
      </c>
      <c r="X298" t="s">
        <v>1675</v>
      </c>
      <c r="Y298" t="s">
        <v>61</v>
      </c>
      <c r="Z298" t="s">
        <v>1676</v>
      </c>
      <c r="AA298" t="s">
        <v>947</v>
      </c>
      <c r="AB298">
        <v>91</v>
      </c>
      <c r="AC298">
        <v>57</v>
      </c>
      <c r="AE298">
        <v>134</v>
      </c>
      <c r="AH298" t="s">
        <v>31</v>
      </c>
    </row>
    <row r="299" spans="1:34" x14ac:dyDescent="0.25">
      <c r="A299">
        <v>298</v>
      </c>
      <c r="B299" s="5">
        <v>139663302</v>
      </c>
      <c r="C299" s="5">
        <v>39958792552</v>
      </c>
      <c r="D299">
        <v>5138</v>
      </c>
      <c r="E299" s="1" t="s">
        <v>1689</v>
      </c>
      <c r="F299" t="s">
        <v>948</v>
      </c>
      <c r="G299" t="s">
        <v>949</v>
      </c>
      <c r="H299">
        <v>29327</v>
      </c>
      <c r="I299">
        <v>23514677</v>
      </c>
      <c r="L299" s="2">
        <v>40391</v>
      </c>
      <c r="M299" s="3">
        <f t="shared" si="4"/>
        <v>2010</v>
      </c>
      <c r="N299" s="2">
        <v>43105</v>
      </c>
      <c r="O299">
        <v>224</v>
      </c>
      <c r="P299" s="6">
        <v>9495</v>
      </c>
      <c r="Q299">
        <v>4747.5</v>
      </c>
      <c r="R299">
        <v>1899</v>
      </c>
      <c r="S299">
        <v>198</v>
      </c>
      <c r="T299" s="6">
        <v>752.64</v>
      </c>
      <c r="U299" t="s">
        <v>39</v>
      </c>
      <c r="V299" t="s">
        <v>1677</v>
      </c>
      <c r="W299" t="s">
        <v>1681</v>
      </c>
      <c r="X299" t="s">
        <v>1675</v>
      </c>
      <c r="Y299" t="s">
        <v>1679</v>
      </c>
      <c r="Z299" t="s">
        <v>1680</v>
      </c>
      <c r="AA299" t="s">
        <v>950</v>
      </c>
      <c r="AB299">
        <v>103</v>
      </c>
      <c r="AC299">
        <v>52</v>
      </c>
      <c r="AE299">
        <v>20</v>
      </c>
      <c r="AH299" t="s">
        <v>41</v>
      </c>
    </row>
    <row r="300" spans="1:34" x14ac:dyDescent="0.25">
      <c r="A300">
        <v>299</v>
      </c>
      <c r="B300" s="5">
        <v>559704433</v>
      </c>
      <c r="C300" s="5">
        <v>18497444635</v>
      </c>
      <c r="D300">
        <v>5745</v>
      </c>
      <c r="E300" s="1" t="s">
        <v>1688</v>
      </c>
      <c r="F300" t="s">
        <v>951</v>
      </c>
      <c r="G300" t="s">
        <v>952</v>
      </c>
      <c r="H300">
        <v>29130</v>
      </c>
      <c r="I300">
        <v>33277794</v>
      </c>
      <c r="L300" s="2">
        <v>39664</v>
      </c>
      <c r="M300" s="3">
        <f t="shared" si="4"/>
        <v>2008</v>
      </c>
      <c r="N300" s="2" t="s">
        <v>28</v>
      </c>
      <c r="O300">
        <v>156</v>
      </c>
      <c r="P300" s="6">
        <v>11136</v>
      </c>
      <c r="Q300">
        <v>5568</v>
      </c>
      <c r="R300">
        <v>2227.2000000000003</v>
      </c>
      <c r="S300">
        <v>286</v>
      </c>
      <c r="T300" s="6">
        <v>524.16</v>
      </c>
      <c r="U300" t="s">
        <v>68</v>
      </c>
      <c r="V300" t="s">
        <v>1686</v>
      </c>
      <c r="W300" t="s">
        <v>1681</v>
      </c>
      <c r="X300" t="s">
        <v>1683</v>
      </c>
      <c r="Y300" t="s">
        <v>1679</v>
      </c>
      <c r="Z300" t="s">
        <v>1684</v>
      </c>
      <c r="AA300" t="s">
        <v>953</v>
      </c>
      <c r="AB300">
        <v>142</v>
      </c>
      <c r="AC300">
        <v>25</v>
      </c>
      <c r="AE300">
        <v>184</v>
      </c>
      <c r="AH300" t="s">
        <v>41</v>
      </c>
    </row>
    <row r="301" spans="1:34" x14ac:dyDescent="0.25">
      <c r="A301">
        <v>300</v>
      </c>
      <c r="B301" s="5">
        <v>142582318</v>
      </c>
      <c r="C301" s="5">
        <v>47992137771</v>
      </c>
      <c r="D301">
        <v>3972</v>
      </c>
      <c r="E301" s="1" t="s">
        <v>1688</v>
      </c>
      <c r="F301" t="s">
        <v>954</v>
      </c>
      <c r="G301" t="s">
        <v>955</v>
      </c>
      <c r="H301">
        <v>36433</v>
      </c>
      <c r="I301">
        <v>34348203</v>
      </c>
      <c r="L301" s="2">
        <v>43003</v>
      </c>
      <c r="M301" s="3">
        <f t="shared" si="4"/>
        <v>2017</v>
      </c>
      <c r="N301" s="2" t="s">
        <v>28</v>
      </c>
      <c r="O301">
        <v>168</v>
      </c>
      <c r="P301" s="6">
        <v>4759</v>
      </c>
      <c r="Q301">
        <v>2379.5</v>
      </c>
      <c r="R301">
        <v>951.80000000000007</v>
      </c>
      <c r="S301">
        <v>286</v>
      </c>
      <c r="T301" s="6">
        <v>564.48</v>
      </c>
      <c r="U301" t="s">
        <v>120</v>
      </c>
      <c r="V301" t="s">
        <v>1673</v>
      </c>
      <c r="W301" t="s">
        <v>1681</v>
      </c>
      <c r="X301" t="s">
        <v>1675</v>
      </c>
      <c r="Y301" t="s">
        <v>61</v>
      </c>
      <c r="Z301" t="s">
        <v>1676</v>
      </c>
      <c r="AA301" t="s">
        <v>956</v>
      </c>
      <c r="AB301">
        <v>44</v>
      </c>
      <c r="AC301">
        <v>57</v>
      </c>
      <c r="AE301">
        <v>178</v>
      </c>
      <c r="AH301" t="s">
        <v>41</v>
      </c>
    </row>
    <row r="302" spans="1:34" x14ac:dyDescent="0.25">
      <c r="A302">
        <v>301</v>
      </c>
      <c r="B302" s="5">
        <v>140134837</v>
      </c>
      <c r="C302" s="5">
        <v>59864021426</v>
      </c>
      <c r="D302">
        <v>6065</v>
      </c>
      <c r="E302" s="1" t="s">
        <v>1688</v>
      </c>
      <c r="F302" t="s">
        <v>957</v>
      </c>
      <c r="G302" t="s">
        <v>958</v>
      </c>
      <c r="H302">
        <v>32060</v>
      </c>
      <c r="I302">
        <v>42478137</v>
      </c>
      <c r="L302" s="2">
        <v>38630</v>
      </c>
      <c r="M302" s="3">
        <f t="shared" si="4"/>
        <v>2005</v>
      </c>
      <c r="N302" s="2" t="s">
        <v>28</v>
      </c>
      <c r="O302">
        <v>167</v>
      </c>
      <c r="P302" s="6">
        <v>21130</v>
      </c>
      <c r="Q302">
        <v>10565</v>
      </c>
      <c r="R302">
        <v>4226</v>
      </c>
      <c r="S302">
        <v>176</v>
      </c>
      <c r="T302" s="6">
        <v>561.12</v>
      </c>
      <c r="U302" t="s">
        <v>64</v>
      </c>
      <c r="V302" t="s">
        <v>1682</v>
      </c>
      <c r="W302" t="s">
        <v>1685</v>
      </c>
      <c r="X302" t="s">
        <v>1683</v>
      </c>
      <c r="Y302" t="s">
        <v>1679</v>
      </c>
      <c r="Z302" t="s">
        <v>1684</v>
      </c>
      <c r="AA302" t="s">
        <v>959</v>
      </c>
      <c r="AB302">
        <v>83</v>
      </c>
      <c r="AC302">
        <v>46</v>
      </c>
      <c r="AE302">
        <v>135</v>
      </c>
      <c r="AH302" t="s">
        <v>57</v>
      </c>
    </row>
    <row r="303" spans="1:34" x14ac:dyDescent="0.25">
      <c r="A303">
        <v>302</v>
      </c>
      <c r="B303" s="5">
        <v>423379756</v>
      </c>
      <c r="C303" s="5">
        <v>99318451505</v>
      </c>
      <c r="D303">
        <v>7135</v>
      </c>
      <c r="E303" s="1" t="s">
        <v>1689</v>
      </c>
      <c r="F303" t="s">
        <v>960</v>
      </c>
      <c r="G303" t="s">
        <v>961</v>
      </c>
      <c r="H303">
        <v>27500</v>
      </c>
      <c r="I303">
        <v>29519698</v>
      </c>
      <c r="L303" s="2">
        <v>41903</v>
      </c>
      <c r="M303" s="3">
        <f t="shared" si="4"/>
        <v>2014</v>
      </c>
      <c r="N303" s="2" t="s">
        <v>28</v>
      </c>
      <c r="O303">
        <v>151</v>
      </c>
      <c r="P303" s="6">
        <v>13020</v>
      </c>
      <c r="Q303">
        <v>6510</v>
      </c>
      <c r="R303">
        <v>2604</v>
      </c>
      <c r="S303">
        <v>176</v>
      </c>
      <c r="T303" s="6">
        <v>507.36</v>
      </c>
      <c r="U303" t="s">
        <v>39</v>
      </c>
      <c r="V303" t="s">
        <v>1677</v>
      </c>
      <c r="W303" t="s">
        <v>1681</v>
      </c>
      <c r="X303" t="s">
        <v>1675</v>
      </c>
      <c r="Y303" t="s">
        <v>1679</v>
      </c>
      <c r="Z303" t="s">
        <v>1680</v>
      </c>
      <c r="AA303" t="s">
        <v>962</v>
      </c>
      <c r="AB303">
        <v>51</v>
      </c>
      <c r="AC303">
        <v>7</v>
      </c>
      <c r="AE303">
        <v>149</v>
      </c>
      <c r="AH303" t="s">
        <v>41</v>
      </c>
    </row>
    <row r="304" spans="1:34" x14ac:dyDescent="0.25">
      <c r="A304">
        <v>303</v>
      </c>
      <c r="B304" s="5">
        <v>133060880</v>
      </c>
      <c r="C304" s="5">
        <v>39987802758</v>
      </c>
      <c r="D304">
        <v>6631</v>
      </c>
      <c r="E304" s="1" t="s">
        <v>1688</v>
      </c>
      <c r="F304" t="s">
        <v>963</v>
      </c>
      <c r="G304" t="s">
        <v>964</v>
      </c>
      <c r="H304">
        <v>35900</v>
      </c>
      <c r="I304">
        <v>32912950</v>
      </c>
      <c r="L304" s="2">
        <v>42470</v>
      </c>
      <c r="M304" s="3">
        <f t="shared" si="4"/>
        <v>2016</v>
      </c>
      <c r="N304" s="2" t="s">
        <v>28</v>
      </c>
      <c r="O304">
        <v>204</v>
      </c>
      <c r="P304" s="6">
        <v>5584</v>
      </c>
      <c r="Q304">
        <v>2792</v>
      </c>
      <c r="R304">
        <v>1116.8</v>
      </c>
      <c r="S304">
        <v>198</v>
      </c>
      <c r="T304" s="6">
        <v>685.44</v>
      </c>
      <c r="U304" t="s">
        <v>39</v>
      </c>
      <c r="V304" t="s">
        <v>1677</v>
      </c>
      <c r="W304" t="s">
        <v>1681</v>
      </c>
      <c r="X304" t="s">
        <v>1675</v>
      </c>
      <c r="Y304" t="s">
        <v>1679</v>
      </c>
      <c r="Z304" t="s">
        <v>1680</v>
      </c>
      <c r="AA304" t="s">
        <v>965</v>
      </c>
      <c r="AB304">
        <v>25</v>
      </c>
      <c r="AC304">
        <v>25</v>
      </c>
      <c r="AE304">
        <v>29</v>
      </c>
      <c r="AF304">
        <v>777</v>
      </c>
      <c r="AH304" t="s">
        <v>41</v>
      </c>
    </row>
    <row r="305" spans="1:34" x14ac:dyDescent="0.25">
      <c r="A305">
        <v>304</v>
      </c>
      <c r="B305" s="5">
        <v>795011679</v>
      </c>
      <c r="C305" s="5">
        <v>86900440820</v>
      </c>
      <c r="D305">
        <v>5496</v>
      </c>
      <c r="E305" s="1" t="s">
        <v>1688</v>
      </c>
      <c r="F305" t="s">
        <v>966</v>
      </c>
      <c r="G305" t="s">
        <v>967</v>
      </c>
      <c r="H305">
        <v>34368</v>
      </c>
      <c r="I305">
        <v>23073901</v>
      </c>
      <c r="L305" s="2">
        <v>41339</v>
      </c>
      <c r="M305" s="3">
        <f t="shared" si="4"/>
        <v>2013</v>
      </c>
      <c r="N305" s="2" t="s">
        <v>28</v>
      </c>
      <c r="O305">
        <v>176</v>
      </c>
      <c r="P305" s="6">
        <v>8589</v>
      </c>
      <c r="Q305">
        <v>4294.5</v>
      </c>
      <c r="R305">
        <v>1717.8000000000002</v>
      </c>
      <c r="S305">
        <v>198</v>
      </c>
      <c r="T305" s="6">
        <v>591.36</v>
      </c>
      <c r="U305" t="s">
        <v>68</v>
      </c>
      <c r="V305" t="s">
        <v>1686</v>
      </c>
      <c r="W305" t="s">
        <v>1681</v>
      </c>
      <c r="X305" t="s">
        <v>1683</v>
      </c>
      <c r="Y305" t="s">
        <v>1679</v>
      </c>
      <c r="Z305" t="s">
        <v>1684</v>
      </c>
      <c r="AA305" t="s">
        <v>968</v>
      </c>
      <c r="AB305">
        <v>50</v>
      </c>
      <c r="AC305">
        <v>44</v>
      </c>
      <c r="AE305">
        <v>136</v>
      </c>
      <c r="AH305" t="s">
        <v>41</v>
      </c>
    </row>
    <row r="306" spans="1:34" x14ac:dyDescent="0.25">
      <c r="A306">
        <v>305</v>
      </c>
      <c r="B306" s="5">
        <v>387150232</v>
      </c>
      <c r="C306" s="5">
        <v>20262926662</v>
      </c>
      <c r="D306">
        <v>4537</v>
      </c>
      <c r="E306" s="1" t="s">
        <v>1689</v>
      </c>
      <c r="F306" t="s">
        <v>969</v>
      </c>
      <c r="G306" t="s">
        <v>970</v>
      </c>
      <c r="H306">
        <v>31665</v>
      </c>
      <c r="I306">
        <v>31936750</v>
      </c>
      <c r="L306" s="2">
        <v>39926</v>
      </c>
      <c r="M306" s="3">
        <f t="shared" si="4"/>
        <v>2009</v>
      </c>
      <c r="N306" s="2" t="s">
        <v>28</v>
      </c>
      <c r="O306">
        <v>181</v>
      </c>
      <c r="P306" s="6">
        <v>8954</v>
      </c>
      <c r="Q306">
        <v>4477</v>
      </c>
      <c r="R306">
        <v>1790.8000000000002</v>
      </c>
      <c r="S306">
        <v>220</v>
      </c>
      <c r="T306" s="6">
        <v>608.16</v>
      </c>
      <c r="U306" t="s">
        <v>790</v>
      </c>
      <c r="V306" t="s">
        <v>1673</v>
      </c>
      <c r="W306" t="s">
        <v>1687</v>
      </c>
      <c r="X306" t="s">
        <v>1675</v>
      </c>
      <c r="Y306" t="s">
        <v>61</v>
      </c>
      <c r="Z306" t="s">
        <v>1676</v>
      </c>
      <c r="AA306" t="s">
        <v>971</v>
      </c>
      <c r="AB306">
        <v>46</v>
      </c>
      <c r="AC306">
        <v>24</v>
      </c>
      <c r="AE306">
        <v>55</v>
      </c>
      <c r="AH306" t="s">
        <v>98</v>
      </c>
    </row>
    <row r="307" spans="1:34" x14ac:dyDescent="0.25">
      <c r="A307">
        <v>306</v>
      </c>
      <c r="B307" s="5">
        <v>220754906</v>
      </c>
      <c r="C307" s="5">
        <v>59988440473</v>
      </c>
      <c r="D307">
        <v>6368</v>
      </c>
      <c r="E307" s="1" t="s">
        <v>1689</v>
      </c>
      <c r="F307" t="s">
        <v>972</v>
      </c>
      <c r="G307" t="s">
        <v>973</v>
      </c>
      <c r="H307">
        <v>35473</v>
      </c>
      <c r="I307">
        <v>25500791</v>
      </c>
      <c r="L307" s="2">
        <v>42043</v>
      </c>
      <c r="M307" s="3">
        <f t="shared" si="4"/>
        <v>2015</v>
      </c>
      <c r="N307" s="2" t="s">
        <v>28</v>
      </c>
      <c r="O307">
        <v>154</v>
      </c>
      <c r="P307" s="6">
        <v>9069</v>
      </c>
      <c r="Q307">
        <v>4534.5</v>
      </c>
      <c r="R307">
        <v>1813.8000000000002</v>
      </c>
      <c r="S307">
        <v>220</v>
      </c>
      <c r="T307" s="6">
        <v>517.44000000000005</v>
      </c>
      <c r="U307" t="s">
        <v>44</v>
      </c>
      <c r="V307" t="s">
        <v>1682</v>
      </c>
      <c r="W307" t="s">
        <v>1681</v>
      </c>
      <c r="X307" t="s">
        <v>1683</v>
      </c>
      <c r="Y307" t="s">
        <v>1679</v>
      </c>
      <c r="Z307" t="s">
        <v>1684</v>
      </c>
      <c r="AA307" t="s">
        <v>974</v>
      </c>
      <c r="AB307">
        <v>79</v>
      </c>
      <c r="AC307">
        <v>55</v>
      </c>
      <c r="AE307">
        <v>57</v>
      </c>
      <c r="AH307" t="s">
        <v>41</v>
      </c>
    </row>
    <row r="308" spans="1:34" x14ac:dyDescent="0.25">
      <c r="A308">
        <v>307</v>
      </c>
      <c r="B308" s="5">
        <v>476903460</v>
      </c>
      <c r="C308" s="5">
        <v>87616175713</v>
      </c>
      <c r="D308">
        <v>4937</v>
      </c>
      <c r="E308" s="1" t="s">
        <v>1689</v>
      </c>
      <c r="F308" t="s">
        <v>975</v>
      </c>
      <c r="G308" t="s">
        <v>976</v>
      </c>
      <c r="H308">
        <v>26176</v>
      </c>
      <c r="I308">
        <v>37545336</v>
      </c>
      <c r="L308" s="2">
        <v>37273</v>
      </c>
      <c r="M308" s="3">
        <f t="shared" si="4"/>
        <v>2002</v>
      </c>
      <c r="N308" s="2" t="s">
        <v>28</v>
      </c>
      <c r="O308">
        <v>185</v>
      </c>
      <c r="P308" s="6">
        <v>3481</v>
      </c>
      <c r="Q308">
        <v>1740.5</v>
      </c>
      <c r="R308">
        <v>696.2</v>
      </c>
      <c r="S308">
        <v>242</v>
      </c>
      <c r="T308" s="6">
        <v>621.6</v>
      </c>
      <c r="U308" t="s">
        <v>51</v>
      </c>
      <c r="V308" t="s">
        <v>1682</v>
      </c>
      <c r="W308" t="s">
        <v>1674</v>
      </c>
      <c r="X308" t="s">
        <v>1683</v>
      </c>
      <c r="Y308" t="s">
        <v>1679</v>
      </c>
      <c r="Z308" t="s">
        <v>1684</v>
      </c>
      <c r="AA308" t="s">
        <v>977</v>
      </c>
      <c r="AB308">
        <v>127</v>
      </c>
      <c r="AC308">
        <v>10</v>
      </c>
      <c r="AE308">
        <v>170</v>
      </c>
      <c r="AH308" t="s">
        <v>31</v>
      </c>
    </row>
    <row r="309" spans="1:34" x14ac:dyDescent="0.25">
      <c r="A309">
        <v>308</v>
      </c>
      <c r="B309" s="5">
        <v>355533812</v>
      </c>
      <c r="C309" s="5">
        <v>70394094650</v>
      </c>
      <c r="D309">
        <v>1521</v>
      </c>
      <c r="E309" s="1" t="s">
        <v>1689</v>
      </c>
      <c r="F309" t="s">
        <v>978</v>
      </c>
      <c r="G309" t="s">
        <v>979</v>
      </c>
      <c r="H309">
        <v>35584</v>
      </c>
      <c r="I309">
        <v>42786696</v>
      </c>
      <c r="L309" s="2">
        <v>42154</v>
      </c>
      <c r="M309" s="3">
        <f t="shared" si="4"/>
        <v>2015</v>
      </c>
      <c r="N309" s="2">
        <v>43105</v>
      </c>
      <c r="O309">
        <v>183</v>
      </c>
      <c r="P309" s="6">
        <v>1543</v>
      </c>
      <c r="Q309">
        <v>771.5</v>
      </c>
      <c r="R309">
        <v>308.60000000000002</v>
      </c>
      <c r="S309">
        <v>154</v>
      </c>
      <c r="T309" s="6">
        <v>614.88</v>
      </c>
      <c r="U309" t="s">
        <v>168</v>
      </c>
      <c r="V309" t="s">
        <v>1677</v>
      </c>
      <c r="W309" t="s">
        <v>1687</v>
      </c>
      <c r="X309" t="s">
        <v>1675</v>
      </c>
      <c r="Y309" t="s">
        <v>1679</v>
      </c>
      <c r="Z309" t="s">
        <v>1680</v>
      </c>
      <c r="AA309" t="s">
        <v>980</v>
      </c>
      <c r="AB309">
        <v>82</v>
      </c>
      <c r="AC309">
        <v>18</v>
      </c>
      <c r="AE309">
        <v>119</v>
      </c>
      <c r="AH309" t="s">
        <v>98</v>
      </c>
    </row>
    <row r="310" spans="1:34" x14ac:dyDescent="0.25">
      <c r="A310">
        <v>309</v>
      </c>
      <c r="B310" s="5">
        <v>401055144</v>
      </c>
      <c r="C310" s="5">
        <v>45261312483</v>
      </c>
      <c r="D310">
        <v>7799</v>
      </c>
      <c r="E310" s="1" t="s">
        <v>1688</v>
      </c>
      <c r="F310" t="s">
        <v>981</v>
      </c>
      <c r="G310" t="s">
        <v>982</v>
      </c>
      <c r="H310">
        <v>28374</v>
      </c>
      <c r="I310">
        <v>47212016</v>
      </c>
      <c r="L310" s="2">
        <v>36037</v>
      </c>
      <c r="M310" s="3">
        <f t="shared" si="4"/>
        <v>1998</v>
      </c>
      <c r="N310" s="2" t="s">
        <v>28</v>
      </c>
      <c r="O310">
        <v>207</v>
      </c>
      <c r="P310" s="6">
        <v>17671</v>
      </c>
      <c r="Q310">
        <v>8835.5</v>
      </c>
      <c r="R310">
        <v>3534.2000000000003</v>
      </c>
      <c r="S310">
        <v>286</v>
      </c>
      <c r="T310" s="6">
        <v>695.52</v>
      </c>
      <c r="U310" t="s">
        <v>446</v>
      </c>
      <c r="V310" t="s">
        <v>1680</v>
      </c>
      <c r="W310" t="s">
        <v>1685</v>
      </c>
      <c r="X310" t="s">
        <v>1675</v>
      </c>
      <c r="Y310" t="s">
        <v>61</v>
      </c>
      <c r="Z310" t="s">
        <v>1676</v>
      </c>
      <c r="AA310" t="s">
        <v>983</v>
      </c>
      <c r="AB310">
        <v>38</v>
      </c>
      <c r="AC310">
        <v>16</v>
      </c>
      <c r="AE310">
        <v>60</v>
      </c>
      <c r="AH310" t="s">
        <v>57</v>
      </c>
    </row>
    <row r="311" spans="1:34" x14ac:dyDescent="0.25">
      <c r="A311">
        <v>310</v>
      </c>
      <c r="B311" s="5">
        <v>784732330</v>
      </c>
      <c r="C311" s="5">
        <v>34362271112</v>
      </c>
      <c r="D311">
        <v>1054</v>
      </c>
      <c r="E311" s="1" t="s">
        <v>1688</v>
      </c>
      <c r="F311" t="s">
        <v>984</v>
      </c>
      <c r="G311" t="s">
        <v>985</v>
      </c>
      <c r="H311">
        <v>32168</v>
      </c>
      <c r="I311">
        <v>44699953</v>
      </c>
      <c r="L311" s="2">
        <v>38738</v>
      </c>
      <c r="M311" s="3">
        <f t="shared" si="4"/>
        <v>2006</v>
      </c>
      <c r="N311" s="2" t="s">
        <v>28</v>
      </c>
      <c r="O311">
        <v>246</v>
      </c>
      <c r="P311" s="6">
        <v>23704</v>
      </c>
      <c r="Q311">
        <v>11852</v>
      </c>
      <c r="R311">
        <v>4740.8</v>
      </c>
      <c r="S311">
        <v>154</v>
      </c>
      <c r="T311" s="6">
        <v>826.56</v>
      </c>
      <c r="U311" t="s">
        <v>172</v>
      </c>
      <c r="V311" t="s">
        <v>1686</v>
      </c>
      <c r="W311" t="s">
        <v>1674</v>
      </c>
      <c r="X311" t="s">
        <v>1683</v>
      </c>
      <c r="Y311" t="s">
        <v>1679</v>
      </c>
      <c r="Z311" t="s">
        <v>1684</v>
      </c>
      <c r="AA311" t="s">
        <v>986</v>
      </c>
      <c r="AB311">
        <v>99</v>
      </c>
      <c r="AC311">
        <v>41</v>
      </c>
      <c r="AE311">
        <v>26</v>
      </c>
      <c r="AH311" t="s">
        <v>31</v>
      </c>
    </row>
    <row r="312" spans="1:34" x14ac:dyDescent="0.25">
      <c r="A312">
        <v>311</v>
      </c>
      <c r="B312" s="5">
        <v>748156424</v>
      </c>
      <c r="C312" s="5">
        <v>84852806613</v>
      </c>
      <c r="D312">
        <v>6656</v>
      </c>
      <c r="E312" s="1" t="s">
        <v>1689</v>
      </c>
      <c r="F312" t="s">
        <v>987</v>
      </c>
      <c r="G312" t="s">
        <v>988</v>
      </c>
      <c r="H312">
        <v>33385</v>
      </c>
      <c r="I312">
        <v>46284198</v>
      </c>
      <c r="L312" s="2">
        <v>42094</v>
      </c>
      <c r="M312" s="3">
        <f t="shared" si="4"/>
        <v>2015</v>
      </c>
      <c r="N312" s="2" t="s">
        <v>28</v>
      </c>
      <c r="O312">
        <v>171</v>
      </c>
      <c r="P312" s="6">
        <v>12672</v>
      </c>
      <c r="Q312">
        <v>6336</v>
      </c>
      <c r="R312">
        <v>2534.4</v>
      </c>
      <c r="S312">
        <v>198</v>
      </c>
      <c r="T312" s="6">
        <v>574.55999999999995</v>
      </c>
      <c r="U312" t="s">
        <v>44</v>
      </c>
      <c r="V312" t="s">
        <v>1682</v>
      </c>
      <c r="W312" t="s">
        <v>1681</v>
      </c>
      <c r="X312" t="s">
        <v>1683</v>
      </c>
      <c r="Y312" t="s">
        <v>1679</v>
      </c>
      <c r="Z312" t="s">
        <v>1684</v>
      </c>
      <c r="AA312" t="s">
        <v>989</v>
      </c>
      <c r="AB312">
        <v>90</v>
      </c>
      <c r="AC312">
        <v>8</v>
      </c>
      <c r="AE312">
        <v>134</v>
      </c>
      <c r="AH312" t="s">
        <v>41</v>
      </c>
    </row>
    <row r="313" spans="1:34" x14ac:dyDescent="0.25">
      <c r="A313">
        <v>312</v>
      </c>
      <c r="B313" s="5">
        <v>159298032</v>
      </c>
      <c r="C313" s="5">
        <v>29037097311</v>
      </c>
      <c r="D313">
        <v>1002</v>
      </c>
      <c r="E313" s="1" t="s">
        <v>1688</v>
      </c>
      <c r="F313" t="s">
        <v>990</v>
      </c>
      <c r="G313" t="s">
        <v>991</v>
      </c>
      <c r="H313">
        <v>31414</v>
      </c>
      <c r="I313">
        <v>39064996</v>
      </c>
      <c r="L313" s="2">
        <v>37984</v>
      </c>
      <c r="M313" s="3">
        <f t="shared" si="4"/>
        <v>2003</v>
      </c>
      <c r="N313" s="2" t="s">
        <v>28</v>
      </c>
      <c r="O313">
        <v>235</v>
      </c>
      <c r="P313" s="6">
        <v>10269</v>
      </c>
      <c r="Q313">
        <v>5134.5</v>
      </c>
      <c r="R313">
        <v>2053.8000000000002</v>
      </c>
      <c r="S313">
        <v>286</v>
      </c>
      <c r="T313" s="6">
        <v>789.6</v>
      </c>
      <c r="U313" t="s">
        <v>168</v>
      </c>
      <c r="V313" t="s">
        <v>1677</v>
      </c>
      <c r="W313" t="s">
        <v>1687</v>
      </c>
      <c r="X313" t="s">
        <v>1675</v>
      </c>
      <c r="Y313" t="s">
        <v>1679</v>
      </c>
      <c r="Z313" t="s">
        <v>1680</v>
      </c>
      <c r="AA313" t="s">
        <v>992</v>
      </c>
      <c r="AB313">
        <v>58</v>
      </c>
      <c r="AC313">
        <v>14</v>
      </c>
      <c r="AE313">
        <v>22</v>
      </c>
      <c r="AH313" t="s">
        <v>98</v>
      </c>
    </row>
    <row r="314" spans="1:34" x14ac:dyDescent="0.25">
      <c r="A314">
        <v>313</v>
      </c>
      <c r="B314" s="5">
        <v>577830399</v>
      </c>
      <c r="C314" s="5">
        <v>59542847658</v>
      </c>
      <c r="D314">
        <v>7055</v>
      </c>
      <c r="E314" s="1" t="s">
        <v>1689</v>
      </c>
      <c r="F314" t="s">
        <v>993</v>
      </c>
      <c r="G314" t="s">
        <v>994</v>
      </c>
      <c r="H314">
        <v>33757</v>
      </c>
      <c r="I314">
        <v>29227658</v>
      </c>
      <c r="L314" s="2">
        <v>40327</v>
      </c>
      <c r="M314" s="3">
        <f t="shared" si="4"/>
        <v>2010</v>
      </c>
      <c r="N314" s="2">
        <v>40758</v>
      </c>
      <c r="O314">
        <v>187</v>
      </c>
      <c r="P314" s="6">
        <v>8995</v>
      </c>
      <c r="Q314">
        <v>4497.5</v>
      </c>
      <c r="R314">
        <v>1799</v>
      </c>
      <c r="S314">
        <v>176</v>
      </c>
      <c r="T314" s="6">
        <v>628.32000000000005</v>
      </c>
      <c r="U314" t="s">
        <v>172</v>
      </c>
      <c r="V314" t="s">
        <v>1686</v>
      </c>
      <c r="W314" t="s">
        <v>1674</v>
      </c>
      <c r="X314" t="s">
        <v>1683</v>
      </c>
      <c r="Y314" t="s">
        <v>1679</v>
      </c>
      <c r="Z314" t="s">
        <v>1684</v>
      </c>
      <c r="AA314" t="s">
        <v>995</v>
      </c>
      <c r="AB314">
        <v>27</v>
      </c>
      <c r="AC314">
        <v>23</v>
      </c>
      <c r="AE314">
        <v>35</v>
      </c>
      <c r="AH314" t="s">
        <v>31</v>
      </c>
    </row>
    <row r="315" spans="1:34" x14ac:dyDescent="0.25">
      <c r="A315">
        <v>314</v>
      </c>
      <c r="B315" s="5">
        <v>993812910</v>
      </c>
      <c r="C315" s="5">
        <v>58626044991</v>
      </c>
      <c r="D315">
        <v>1384</v>
      </c>
      <c r="E315" s="1" t="s">
        <v>1689</v>
      </c>
      <c r="F315" t="s">
        <v>996</v>
      </c>
      <c r="G315" t="s">
        <v>997</v>
      </c>
      <c r="H315">
        <v>30448</v>
      </c>
      <c r="I315">
        <v>31028747</v>
      </c>
      <c r="L315" s="2">
        <v>37018</v>
      </c>
      <c r="M315" s="3">
        <f t="shared" si="4"/>
        <v>2001</v>
      </c>
      <c r="N315" s="2">
        <v>37712</v>
      </c>
      <c r="O315">
        <v>215</v>
      </c>
      <c r="P315" s="6">
        <v>5573</v>
      </c>
      <c r="Q315">
        <v>2786.5</v>
      </c>
      <c r="R315">
        <v>1114.6000000000001</v>
      </c>
      <c r="S315">
        <v>286</v>
      </c>
      <c r="T315" s="6">
        <v>722.4</v>
      </c>
      <c r="U315" t="s">
        <v>64</v>
      </c>
      <c r="V315" t="s">
        <v>1682</v>
      </c>
      <c r="W315" t="s">
        <v>1685</v>
      </c>
      <c r="X315" t="s">
        <v>1683</v>
      </c>
      <c r="Y315" t="s">
        <v>1679</v>
      </c>
      <c r="Z315" t="s">
        <v>1684</v>
      </c>
      <c r="AA315" t="s">
        <v>998</v>
      </c>
      <c r="AB315">
        <v>79</v>
      </c>
      <c r="AC315">
        <v>44</v>
      </c>
      <c r="AE315">
        <v>6</v>
      </c>
      <c r="AH315" t="s">
        <v>57</v>
      </c>
    </row>
    <row r="316" spans="1:34" x14ac:dyDescent="0.25">
      <c r="A316">
        <v>315</v>
      </c>
      <c r="B316" s="5">
        <v>624470056</v>
      </c>
      <c r="C316" s="5">
        <v>53722286321</v>
      </c>
      <c r="D316">
        <v>2515</v>
      </c>
      <c r="E316" s="1" t="s">
        <v>1689</v>
      </c>
      <c r="F316" t="s">
        <v>999</v>
      </c>
      <c r="G316" t="s">
        <v>1000</v>
      </c>
      <c r="H316">
        <v>34826</v>
      </c>
      <c r="I316">
        <v>27864060</v>
      </c>
      <c r="L316" s="2">
        <v>41396</v>
      </c>
      <c r="M316" s="3">
        <f t="shared" si="4"/>
        <v>2013</v>
      </c>
      <c r="N316" s="2" t="s">
        <v>28</v>
      </c>
      <c r="O316">
        <v>200</v>
      </c>
      <c r="P316" s="6">
        <v>18822</v>
      </c>
      <c r="Q316">
        <v>9411</v>
      </c>
      <c r="R316">
        <v>3764.4</v>
      </c>
      <c r="S316">
        <v>242</v>
      </c>
      <c r="T316" s="6">
        <v>672</v>
      </c>
      <c r="U316" t="s">
        <v>68</v>
      </c>
      <c r="V316" t="s">
        <v>1686</v>
      </c>
      <c r="W316" t="s">
        <v>1681</v>
      </c>
      <c r="X316" t="s">
        <v>1683</v>
      </c>
      <c r="Y316" t="s">
        <v>1679</v>
      </c>
      <c r="Z316" t="s">
        <v>1684</v>
      </c>
      <c r="AA316" t="s">
        <v>1001</v>
      </c>
      <c r="AB316">
        <v>149</v>
      </c>
      <c r="AC316">
        <v>60</v>
      </c>
      <c r="AE316">
        <v>145</v>
      </c>
      <c r="AH316" t="s">
        <v>41</v>
      </c>
    </row>
    <row r="317" spans="1:34" x14ac:dyDescent="0.25">
      <c r="A317">
        <v>316</v>
      </c>
      <c r="B317" s="5">
        <v>730391568</v>
      </c>
      <c r="C317" s="5">
        <v>62857272800</v>
      </c>
      <c r="D317">
        <v>2243</v>
      </c>
      <c r="E317" s="1" t="s">
        <v>1689</v>
      </c>
      <c r="F317" t="s">
        <v>1002</v>
      </c>
      <c r="G317" t="s">
        <v>1003</v>
      </c>
      <c r="H317">
        <v>31773</v>
      </c>
      <c r="I317">
        <v>33942826</v>
      </c>
      <c r="L317" s="2">
        <v>38343</v>
      </c>
      <c r="M317" s="3">
        <f t="shared" si="4"/>
        <v>2004</v>
      </c>
      <c r="N317" s="2">
        <v>38662</v>
      </c>
      <c r="O317">
        <v>167</v>
      </c>
      <c r="P317" s="6">
        <v>9697</v>
      </c>
      <c r="Q317">
        <v>4848.5</v>
      </c>
      <c r="R317">
        <v>1939.4</v>
      </c>
      <c r="S317">
        <v>176</v>
      </c>
      <c r="T317" s="6">
        <v>561.12</v>
      </c>
      <c r="U317" t="s">
        <v>34</v>
      </c>
      <c r="V317" t="s">
        <v>1677</v>
      </c>
      <c r="W317" t="s">
        <v>1678</v>
      </c>
      <c r="X317" t="s">
        <v>1675</v>
      </c>
      <c r="Y317" t="s">
        <v>1679</v>
      </c>
      <c r="Z317" t="s">
        <v>1680</v>
      </c>
      <c r="AA317" t="s">
        <v>1004</v>
      </c>
      <c r="AB317">
        <v>75</v>
      </c>
      <c r="AC317">
        <v>53</v>
      </c>
      <c r="AE317">
        <v>190</v>
      </c>
      <c r="AH317" t="s">
        <v>36</v>
      </c>
    </row>
    <row r="318" spans="1:34" x14ac:dyDescent="0.25">
      <c r="A318">
        <v>317</v>
      </c>
      <c r="B318" s="5">
        <v>736262825</v>
      </c>
      <c r="C318" s="5">
        <v>54936395416</v>
      </c>
      <c r="D318">
        <v>6042</v>
      </c>
      <c r="E318" s="1" t="s">
        <v>1689</v>
      </c>
      <c r="F318" t="s">
        <v>1005</v>
      </c>
      <c r="G318" t="s">
        <v>1006</v>
      </c>
      <c r="H318">
        <v>29595</v>
      </c>
      <c r="I318">
        <v>35674535</v>
      </c>
      <c r="L318" s="2">
        <v>37322</v>
      </c>
      <c r="M318" s="3">
        <f t="shared" si="4"/>
        <v>2002</v>
      </c>
      <c r="N318" s="2" t="s">
        <v>28</v>
      </c>
      <c r="O318">
        <v>165</v>
      </c>
      <c r="P318" s="6">
        <v>7748</v>
      </c>
      <c r="Q318">
        <v>3874</v>
      </c>
      <c r="R318">
        <v>1549.6000000000001</v>
      </c>
      <c r="S318">
        <v>220</v>
      </c>
      <c r="T318" s="6">
        <v>554.4</v>
      </c>
      <c r="U318" t="s">
        <v>790</v>
      </c>
      <c r="V318" t="s">
        <v>1673</v>
      </c>
      <c r="W318" t="s">
        <v>1687</v>
      </c>
      <c r="X318" t="s">
        <v>1675</v>
      </c>
      <c r="Y318" t="s">
        <v>61</v>
      </c>
      <c r="Z318" t="s">
        <v>1676</v>
      </c>
      <c r="AA318" t="s">
        <v>1007</v>
      </c>
      <c r="AB318">
        <v>40</v>
      </c>
      <c r="AC318">
        <v>52</v>
      </c>
      <c r="AE318">
        <v>29</v>
      </c>
      <c r="AH318" t="s">
        <v>98</v>
      </c>
    </row>
    <row r="319" spans="1:34" x14ac:dyDescent="0.25">
      <c r="A319">
        <v>318</v>
      </c>
      <c r="B319" s="5">
        <v>367651731</v>
      </c>
      <c r="C319" s="5">
        <v>68011691064</v>
      </c>
      <c r="D319">
        <v>6515</v>
      </c>
      <c r="E319" s="1" t="s">
        <v>1688</v>
      </c>
      <c r="F319" t="s">
        <v>1008</v>
      </c>
      <c r="G319" t="s">
        <v>1009</v>
      </c>
      <c r="H319">
        <v>31211</v>
      </c>
      <c r="I319">
        <v>24040827</v>
      </c>
      <c r="L319" s="2">
        <v>41483</v>
      </c>
      <c r="M319" s="3">
        <f t="shared" si="4"/>
        <v>2013</v>
      </c>
      <c r="N319" s="2">
        <v>43105</v>
      </c>
      <c r="O319">
        <v>238</v>
      </c>
      <c r="P319" s="6">
        <v>23242</v>
      </c>
      <c r="Q319">
        <v>11621</v>
      </c>
      <c r="R319">
        <v>4648.4000000000005</v>
      </c>
      <c r="S319">
        <v>176</v>
      </c>
      <c r="T319" s="6">
        <v>799.68</v>
      </c>
      <c r="U319" t="s">
        <v>164</v>
      </c>
      <c r="V319" t="s">
        <v>1677</v>
      </c>
      <c r="W319" t="s">
        <v>1674</v>
      </c>
      <c r="X319" t="s">
        <v>1675</v>
      </c>
      <c r="Y319" t="s">
        <v>1679</v>
      </c>
      <c r="Z319" t="s">
        <v>1680</v>
      </c>
      <c r="AA319" t="s">
        <v>1010</v>
      </c>
      <c r="AB319">
        <v>49</v>
      </c>
      <c r="AC319">
        <v>46</v>
      </c>
      <c r="AE319">
        <v>103</v>
      </c>
      <c r="AH319" t="s">
        <v>31</v>
      </c>
    </row>
    <row r="320" spans="1:34" x14ac:dyDescent="0.25">
      <c r="A320">
        <v>319</v>
      </c>
      <c r="B320" s="5">
        <v>762705904</v>
      </c>
      <c r="C320" s="5">
        <v>22797084021</v>
      </c>
      <c r="D320">
        <v>1314</v>
      </c>
      <c r="E320" s="1" t="s">
        <v>1689</v>
      </c>
      <c r="F320" t="s">
        <v>1011</v>
      </c>
      <c r="G320" t="s">
        <v>1012</v>
      </c>
      <c r="H320">
        <v>27710</v>
      </c>
      <c r="I320">
        <v>22390499</v>
      </c>
      <c r="L320" s="2">
        <v>34318</v>
      </c>
      <c r="M320" s="3">
        <f t="shared" si="4"/>
        <v>1993</v>
      </c>
      <c r="N320" s="2" t="s">
        <v>28</v>
      </c>
      <c r="O320">
        <v>236</v>
      </c>
      <c r="P320" s="6">
        <v>10178</v>
      </c>
      <c r="Q320">
        <v>5089</v>
      </c>
      <c r="R320">
        <v>2035.6000000000001</v>
      </c>
      <c r="S320">
        <v>220</v>
      </c>
      <c r="T320" s="6">
        <v>792.96</v>
      </c>
      <c r="U320" t="s">
        <v>96</v>
      </c>
      <c r="V320" t="s">
        <v>1686</v>
      </c>
      <c r="W320" t="s">
        <v>1687</v>
      </c>
      <c r="X320" t="s">
        <v>1683</v>
      </c>
      <c r="Y320" t="s">
        <v>1679</v>
      </c>
      <c r="Z320" t="s">
        <v>1684</v>
      </c>
      <c r="AA320" t="s">
        <v>1013</v>
      </c>
      <c r="AB320">
        <v>124</v>
      </c>
      <c r="AC320">
        <v>49</v>
      </c>
      <c r="AE320">
        <v>150</v>
      </c>
      <c r="AH320" t="s">
        <v>98</v>
      </c>
    </row>
    <row r="321" spans="1:34" x14ac:dyDescent="0.25">
      <c r="A321">
        <v>320</v>
      </c>
      <c r="B321" s="5">
        <v>890991369</v>
      </c>
      <c r="C321" s="5">
        <v>13470846420</v>
      </c>
      <c r="D321">
        <v>1277</v>
      </c>
      <c r="E321" s="1" t="s">
        <v>1689</v>
      </c>
      <c r="F321" t="s">
        <v>1014</v>
      </c>
      <c r="G321" t="s">
        <v>391</v>
      </c>
      <c r="H321">
        <v>27933</v>
      </c>
      <c r="I321">
        <v>47627525</v>
      </c>
      <c r="L321" s="2">
        <v>42229</v>
      </c>
      <c r="M321" s="3">
        <f t="shared" si="4"/>
        <v>2015</v>
      </c>
      <c r="N321" s="2" t="s">
        <v>28</v>
      </c>
      <c r="O321">
        <v>221</v>
      </c>
      <c r="P321" s="6">
        <v>4010</v>
      </c>
      <c r="Q321">
        <v>2005</v>
      </c>
      <c r="R321">
        <v>802</v>
      </c>
      <c r="S321">
        <v>308</v>
      </c>
      <c r="T321" s="6">
        <v>742.56</v>
      </c>
      <c r="U321" t="s">
        <v>164</v>
      </c>
      <c r="V321" t="s">
        <v>1677</v>
      </c>
      <c r="W321" t="s">
        <v>1674</v>
      </c>
      <c r="X321" t="s">
        <v>1675</v>
      </c>
      <c r="Y321" t="s">
        <v>1679</v>
      </c>
      <c r="Z321" t="s">
        <v>1680</v>
      </c>
      <c r="AA321" t="s">
        <v>1015</v>
      </c>
      <c r="AB321">
        <v>67</v>
      </c>
      <c r="AC321">
        <v>44</v>
      </c>
      <c r="AE321">
        <v>120</v>
      </c>
      <c r="AH321" t="s">
        <v>31</v>
      </c>
    </row>
    <row r="322" spans="1:34" x14ac:dyDescent="0.25">
      <c r="A322">
        <v>321</v>
      </c>
      <c r="B322" s="5">
        <v>795644162</v>
      </c>
      <c r="C322" s="5">
        <v>60413748030</v>
      </c>
      <c r="D322">
        <v>1321</v>
      </c>
      <c r="E322" s="1" t="s">
        <v>1689</v>
      </c>
      <c r="F322" t="s">
        <v>1016</v>
      </c>
      <c r="G322" t="s">
        <v>1017</v>
      </c>
      <c r="H322">
        <v>32724</v>
      </c>
      <c r="I322">
        <v>21544468</v>
      </c>
      <c r="L322" s="2">
        <v>41756</v>
      </c>
      <c r="M322" s="3">
        <f t="shared" si="4"/>
        <v>2014</v>
      </c>
      <c r="N322" s="2" t="s">
        <v>28</v>
      </c>
      <c r="O322">
        <v>236</v>
      </c>
      <c r="P322" s="6">
        <v>20854</v>
      </c>
      <c r="Q322">
        <v>10427</v>
      </c>
      <c r="R322">
        <v>4170.8</v>
      </c>
      <c r="S322">
        <v>242</v>
      </c>
      <c r="T322" s="6">
        <v>792.96</v>
      </c>
      <c r="U322" t="s">
        <v>127</v>
      </c>
      <c r="V322" t="s">
        <v>1686</v>
      </c>
      <c r="W322" t="s">
        <v>1685</v>
      </c>
      <c r="X322" t="s">
        <v>1683</v>
      </c>
      <c r="Y322" t="s">
        <v>1679</v>
      </c>
      <c r="Z322" t="s">
        <v>1684</v>
      </c>
      <c r="AA322" t="s">
        <v>1018</v>
      </c>
      <c r="AB322">
        <v>72</v>
      </c>
      <c r="AC322">
        <v>14</v>
      </c>
      <c r="AE322">
        <v>22</v>
      </c>
      <c r="AH322" t="s">
        <v>57</v>
      </c>
    </row>
    <row r="323" spans="1:34" x14ac:dyDescent="0.25">
      <c r="A323">
        <v>322</v>
      </c>
      <c r="B323" s="5">
        <v>404264948</v>
      </c>
      <c r="C323" s="5">
        <v>60331096521</v>
      </c>
      <c r="D323">
        <v>6428</v>
      </c>
      <c r="E323" s="1" t="s">
        <v>1688</v>
      </c>
      <c r="F323" t="s">
        <v>1019</v>
      </c>
      <c r="G323" t="s">
        <v>1020</v>
      </c>
      <c r="H323">
        <v>34973</v>
      </c>
      <c r="I323">
        <v>35138602</v>
      </c>
      <c r="L323" s="2">
        <v>42436</v>
      </c>
      <c r="M323" s="3">
        <f t="shared" ref="M323:M386" si="5">YEAR(L323)</f>
        <v>2016</v>
      </c>
      <c r="N323" s="2" t="s">
        <v>28</v>
      </c>
      <c r="O323">
        <v>204</v>
      </c>
      <c r="P323" s="6">
        <v>14488</v>
      </c>
      <c r="Q323">
        <v>7244</v>
      </c>
      <c r="R323">
        <v>2897.6000000000004</v>
      </c>
      <c r="S323">
        <v>308</v>
      </c>
      <c r="T323" s="6">
        <v>685.44</v>
      </c>
      <c r="U323" t="s">
        <v>82</v>
      </c>
      <c r="V323" t="s">
        <v>1677</v>
      </c>
      <c r="W323" t="s">
        <v>1685</v>
      </c>
      <c r="X323" t="s">
        <v>1675</v>
      </c>
      <c r="Y323" t="s">
        <v>1679</v>
      </c>
      <c r="Z323" t="s">
        <v>1680</v>
      </c>
      <c r="AA323" t="s">
        <v>1021</v>
      </c>
      <c r="AB323">
        <v>109</v>
      </c>
      <c r="AC323">
        <v>48</v>
      </c>
      <c r="AE323">
        <v>60</v>
      </c>
      <c r="AH323" t="s">
        <v>57</v>
      </c>
    </row>
    <row r="324" spans="1:34" x14ac:dyDescent="0.25">
      <c r="A324">
        <v>323</v>
      </c>
      <c r="B324" s="5">
        <v>475877138</v>
      </c>
      <c r="C324" s="5">
        <v>12369990858</v>
      </c>
      <c r="D324">
        <v>1936</v>
      </c>
      <c r="E324" s="1" t="s">
        <v>1688</v>
      </c>
      <c r="F324" t="s">
        <v>1022</v>
      </c>
      <c r="G324" t="s">
        <v>1023</v>
      </c>
      <c r="H324">
        <v>36284</v>
      </c>
      <c r="I324">
        <v>46651310</v>
      </c>
      <c r="L324" s="2">
        <v>42854</v>
      </c>
      <c r="M324" s="3">
        <f t="shared" si="5"/>
        <v>2017</v>
      </c>
      <c r="N324" s="2" t="s">
        <v>28</v>
      </c>
      <c r="O324">
        <v>179</v>
      </c>
      <c r="P324" s="6">
        <v>19557</v>
      </c>
      <c r="Q324">
        <v>9778.5</v>
      </c>
      <c r="R324">
        <v>3911.4</v>
      </c>
      <c r="S324">
        <v>264</v>
      </c>
      <c r="T324" s="6">
        <v>601.44000000000005</v>
      </c>
      <c r="U324" t="s">
        <v>39</v>
      </c>
      <c r="V324" t="s">
        <v>1677</v>
      </c>
      <c r="W324" t="s">
        <v>1681</v>
      </c>
      <c r="X324" t="s">
        <v>1675</v>
      </c>
      <c r="Y324" t="s">
        <v>1679</v>
      </c>
      <c r="Z324" t="s">
        <v>1680</v>
      </c>
      <c r="AA324" t="s">
        <v>1024</v>
      </c>
      <c r="AB324">
        <v>108</v>
      </c>
      <c r="AC324">
        <v>33</v>
      </c>
      <c r="AE324">
        <v>72</v>
      </c>
      <c r="AH324" t="s">
        <v>41</v>
      </c>
    </row>
    <row r="325" spans="1:34" x14ac:dyDescent="0.25">
      <c r="A325">
        <v>324</v>
      </c>
      <c r="B325" s="5">
        <v>314850065</v>
      </c>
      <c r="C325" s="5">
        <v>77275271963</v>
      </c>
      <c r="D325">
        <v>7247</v>
      </c>
      <c r="E325" s="1" t="s">
        <v>1689</v>
      </c>
      <c r="F325" t="s">
        <v>1025</v>
      </c>
      <c r="G325" t="s">
        <v>1026</v>
      </c>
      <c r="H325">
        <v>33786</v>
      </c>
      <c r="I325">
        <v>41940856</v>
      </c>
      <c r="L325" s="2">
        <v>42387</v>
      </c>
      <c r="M325" s="3">
        <f t="shared" si="5"/>
        <v>2016</v>
      </c>
      <c r="N325" s="2" t="s">
        <v>28</v>
      </c>
      <c r="O325">
        <v>207</v>
      </c>
      <c r="P325" s="6">
        <v>21737</v>
      </c>
      <c r="Q325">
        <v>10868.5</v>
      </c>
      <c r="R325">
        <v>4347.4000000000005</v>
      </c>
      <c r="S325">
        <v>242</v>
      </c>
      <c r="T325" s="6">
        <v>695.52</v>
      </c>
      <c r="U325" t="s">
        <v>82</v>
      </c>
      <c r="V325" t="s">
        <v>1677</v>
      </c>
      <c r="W325" t="s">
        <v>1685</v>
      </c>
      <c r="X325" t="s">
        <v>1675</v>
      </c>
      <c r="Y325" t="s">
        <v>1679</v>
      </c>
      <c r="Z325" t="s">
        <v>1680</v>
      </c>
      <c r="AA325" t="s">
        <v>1027</v>
      </c>
      <c r="AB325">
        <v>143</v>
      </c>
      <c r="AC325">
        <v>28</v>
      </c>
      <c r="AE325">
        <v>94</v>
      </c>
      <c r="AH325" t="s">
        <v>57</v>
      </c>
    </row>
    <row r="326" spans="1:34" x14ac:dyDescent="0.25">
      <c r="A326">
        <v>325</v>
      </c>
      <c r="B326" s="5">
        <v>290314522</v>
      </c>
      <c r="C326" s="5">
        <v>91388902603</v>
      </c>
      <c r="D326">
        <v>2723</v>
      </c>
      <c r="E326" s="1" t="s">
        <v>1688</v>
      </c>
      <c r="F326" t="s">
        <v>1028</v>
      </c>
      <c r="G326" t="s">
        <v>1029</v>
      </c>
      <c r="H326">
        <v>36507</v>
      </c>
      <c r="I326">
        <v>37328172</v>
      </c>
      <c r="L326" s="2">
        <v>43077</v>
      </c>
      <c r="M326" s="3">
        <f t="shared" si="5"/>
        <v>2017</v>
      </c>
      <c r="N326" s="2" t="s">
        <v>28</v>
      </c>
      <c r="O326">
        <v>201</v>
      </c>
      <c r="P326" s="6">
        <v>10700</v>
      </c>
      <c r="Q326">
        <v>5350</v>
      </c>
      <c r="R326">
        <v>2140</v>
      </c>
      <c r="S326">
        <v>242</v>
      </c>
      <c r="T326" s="6">
        <v>675.36</v>
      </c>
      <c r="U326" t="s">
        <v>172</v>
      </c>
      <c r="V326" t="s">
        <v>1686</v>
      </c>
      <c r="W326" t="s">
        <v>1674</v>
      </c>
      <c r="X326" t="s">
        <v>1683</v>
      </c>
      <c r="Y326" t="s">
        <v>1679</v>
      </c>
      <c r="Z326" t="s">
        <v>1684</v>
      </c>
      <c r="AA326" t="s">
        <v>1030</v>
      </c>
      <c r="AB326">
        <v>120</v>
      </c>
      <c r="AC326">
        <v>20</v>
      </c>
      <c r="AE326">
        <v>94</v>
      </c>
      <c r="AH326" t="s">
        <v>31</v>
      </c>
    </row>
    <row r="327" spans="1:34" x14ac:dyDescent="0.25">
      <c r="A327">
        <v>326</v>
      </c>
      <c r="B327" s="5">
        <v>854946018</v>
      </c>
      <c r="C327" s="5">
        <v>50989574290</v>
      </c>
      <c r="D327">
        <v>5996</v>
      </c>
      <c r="E327" s="1" t="s">
        <v>1688</v>
      </c>
      <c r="F327" t="s">
        <v>1031</v>
      </c>
      <c r="G327" t="s">
        <v>1032</v>
      </c>
      <c r="H327">
        <v>28320</v>
      </c>
      <c r="I327">
        <v>21110416</v>
      </c>
      <c r="L327" s="2">
        <v>40823</v>
      </c>
      <c r="M327" s="3">
        <f t="shared" si="5"/>
        <v>2011</v>
      </c>
      <c r="N327" s="2" t="s">
        <v>28</v>
      </c>
      <c r="O327">
        <v>169</v>
      </c>
      <c r="P327" s="6">
        <v>1166</v>
      </c>
      <c r="Q327">
        <v>583</v>
      </c>
      <c r="R327">
        <v>233.20000000000002</v>
      </c>
      <c r="S327">
        <v>220</v>
      </c>
      <c r="T327" s="6">
        <v>567.84</v>
      </c>
      <c r="U327" t="s">
        <v>92</v>
      </c>
      <c r="V327" t="s">
        <v>1686</v>
      </c>
      <c r="W327" t="s">
        <v>1678</v>
      </c>
      <c r="X327" t="s">
        <v>1683</v>
      </c>
      <c r="Y327" t="s">
        <v>1679</v>
      </c>
      <c r="Z327" t="s">
        <v>1684</v>
      </c>
      <c r="AA327" t="s">
        <v>1033</v>
      </c>
      <c r="AB327">
        <v>97</v>
      </c>
      <c r="AC327">
        <v>6</v>
      </c>
      <c r="AE327">
        <v>185</v>
      </c>
      <c r="AH327" t="s">
        <v>36</v>
      </c>
    </row>
    <row r="328" spans="1:34" x14ac:dyDescent="0.25">
      <c r="A328">
        <v>327</v>
      </c>
      <c r="B328" s="5">
        <v>810415710</v>
      </c>
      <c r="C328" s="5">
        <v>58776157417</v>
      </c>
      <c r="D328">
        <v>3239</v>
      </c>
      <c r="E328" s="1" t="s">
        <v>1688</v>
      </c>
      <c r="F328" t="s">
        <v>1034</v>
      </c>
      <c r="G328" t="s">
        <v>1035</v>
      </c>
      <c r="H328">
        <v>26429</v>
      </c>
      <c r="I328">
        <v>42642844</v>
      </c>
      <c r="L328" s="2">
        <v>40213</v>
      </c>
      <c r="M328" s="3">
        <f t="shared" si="5"/>
        <v>2010</v>
      </c>
      <c r="N328" s="2" t="s">
        <v>28</v>
      </c>
      <c r="O328">
        <v>224</v>
      </c>
      <c r="P328" s="6">
        <v>24199</v>
      </c>
      <c r="Q328">
        <v>12099.5</v>
      </c>
      <c r="R328">
        <v>4839.8</v>
      </c>
      <c r="S328">
        <v>242</v>
      </c>
      <c r="T328" s="6">
        <v>752.64</v>
      </c>
      <c r="U328" t="s">
        <v>44</v>
      </c>
      <c r="V328" t="s">
        <v>1682</v>
      </c>
      <c r="W328" t="s">
        <v>1681</v>
      </c>
      <c r="X328" t="s">
        <v>1683</v>
      </c>
      <c r="Y328" t="s">
        <v>1679</v>
      </c>
      <c r="Z328" t="s">
        <v>1684</v>
      </c>
      <c r="AA328" t="s">
        <v>1036</v>
      </c>
      <c r="AB328">
        <v>78</v>
      </c>
      <c r="AC328">
        <v>37</v>
      </c>
      <c r="AE328">
        <v>190</v>
      </c>
      <c r="AH328" t="s">
        <v>41</v>
      </c>
    </row>
    <row r="329" spans="1:34" x14ac:dyDescent="0.25">
      <c r="A329">
        <v>328</v>
      </c>
      <c r="B329" s="5">
        <v>828816861</v>
      </c>
      <c r="C329" s="5">
        <v>12999382406</v>
      </c>
      <c r="D329">
        <v>5025</v>
      </c>
      <c r="E329" s="1" t="s">
        <v>1688</v>
      </c>
      <c r="F329" t="s">
        <v>1037</v>
      </c>
      <c r="G329" t="s">
        <v>1038</v>
      </c>
      <c r="H329">
        <v>28680</v>
      </c>
      <c r="I329">
        <v>26895323</v>
      </c>
      <c r="L329" s="2">
        <v>42915</v>
      </c>
      <c r="M329" s="3">
        <f t="shared" si="5"/>
        <v>2017</v>
      </c>
      <c r="N329" s="2" t="s">
        <v>28</v>
      </c>
      <c r="O329">
        <v>190</v>
      </c>
      <c r="P329" s="6">
        <v>4222</v>
      </c>
      <c r="Q329">
        <v>2111</v>
      </c>
      <c r="R329">
        <v>844.40000000000009</v>
      </c>
      <c r="S329">
        <v>242</v>
      </c>
      <c r="T329" s="6">
        <v>638.4</v>
      </c>
      <c r="U329" t="s">
        <v>64</v>
      </c>
      <c r="V329" t="s">
        <v>1682</v>
      </c>
      <c r="W329" t="s">
        <v>1685</v>
      </c>
      <c r="X329" t="s">
        <v>1683</v>
      </c>
      <c r="Y329" t="s">
        <v>1679</v>
      </c>
      <c r="Z329" t="s">
        <v>1684</v>
      </c>
      <c r="AA329" t="s">
        <v>1039</v>
      </c>
      <c r="AB329">
        <v>61</v>
      </c>
      <c r="AC329">
        <v>41</v>
      </c>
      <c r="AE329">
        <v>153</v>
      </c>
      <c r="AH329" t="s">
        <v>57</v>
      </c>
    </row>
    <row r="330" spans="1:34" x14ac:dyDescent="0.25">
      <c r="A330">
        <v>329</v>
      </c>
      <c r="B330" s="5">
        <v>778112260</v>
      </c>
      <c r="C330" s="5">
        <v>15606240625</v>
      </c>
      <c r="D330">
        <v>5757</v>
      </c>
      <c r="E330" s="1" t="s">
        <v>1689</v>
      </c>
      <c r="F330" t="s">
        <v>1040</v>
      </c>
      <c r="G330" t="s">
        <v>1041</v>
      </c>
      <c r="H330">
        <v>34016</v>
      </c>
      <c r="I330">
        <v>47928533</v>
      </c>
      <c r="L330" s="2">
        <v>40586</v>
      </c>
      <c r="M330" s="3">
        <f t="shared" si="5"/>
        <v>2011</v>
      </c>
      <c r="N330" s="2">
        <v>40731</v>
      </c>
      <c r="O330">
        <v>151</v>
      </c>
      <c r="P330" s="6">
        <v>19408</v>
      </c>
      <c r="Q330">
        <v>9704</v>
      </c>
      <c r="R330">
        <v>3881.6000000000004</v>
      </c>
      <c r="S330">
        <v>264</v>
      </c>
      <c r="T330" s="6">
        <v>507.36</v>
      </c>
      <c r="U330" t="s">
        <v>168</v>
      </c>
      <c r="V330" t="s">
        <v>1677</v>
      </c>
      <c r="W330" t="s">
        <v>1687</v>
      </c>
      <c r="X330" t="s">
        <v>1675</v>
      </c>
      <c r="Y330" t="s">
        <v>1679</v>
      </c>
      <c r="Z330" t="s">
        <v>1680</v>
      </c>
      <c r="AA330" t="s">
        <v>1042</v>
      </c>
      <c r="AB330">
        <v>65</v>
      </c>
      <c r="AC330">
        <v>31</v>
      </c>
      <c r="AE330">
        <v>186</v>
      </c>
      <c r="AH330" t="s">
        <v>98</v>
      </c>
    </row>
    <row r="331" spans="1:34" x14ac:dyDescent="0.25">
      <c r="A331">
        <v>330</v>
      </c>
      <c r="B331" s="5">
        <v>574951790</v>
      </c>
      <c r="C331" s="3">
        <v>4745812998</v>
      </c>
      <c r="D331">
        <v>5144</v>
      </c>
      <c r="E331" s="1" t="s">
        <v>1688</v>
      </c>
      <c r="F331" t="s">
        <v>1043</v>
      </c>
      <c r="G331" t="s">
        <v>1044</v>
      </c>
      <c r="H331">
        <v>26858</v>
      </c>
      <c r="I331">
        <v>25217266</v>
      </c>
      <c r="L331" s="2">
        <v>41073</v>
      </c>
      <c r="M331" s="3">
        <f t="shared" si="5"/>
        <v>2012</v>
      </c>
      <c r="N331" s="2" t="s">
        <v>28</v>
      </c>
      <c r="O331">
        <v>170</v>
      </c>
      <c r="P331" s="6">
        <v>15781</v>
      </c>
      <c r="Q331">
        <v>7890.5</v>
      </c>
      <c r="R331">
        <v>3156.2000000000003</v>
      </c>
      <c r="S331">
        <v>308</v>
      </c>
      <c r="T331" s="6">
        <v>571.19999999999993</v>
      </c>
      <c r="U331" t="s">
        <v>747</v>
      </c>
      <c r="V331" t="s">
        <v>1673</v>
      </c>
      <c r="W331" t="s">
        <v>1678</v>
      </c>
      <c r="X331" t="s">
        <v>1675</v>
      </c>
      <c r="Y331" t="s">
        <v>61</v>
      </c>
      <c r="Z331" t="s">
        <v>1676</v>
      </c>
      <c r="AA331" t="s">
        <v>1045</v>
      </c>
      <c r="AB331">
        <v>133</v>
      </c>
      <c r="AC331">
        <v>17</v>
      </c>
      <c r="AE331">
        <v>33</v>
      </c>
      <c r="AH331" t="s">
        <v>36</v>
      </c>
    </row>
    <row r="332" spans="1:34" x14ac:dyDescent="0.25">
      <c r="A332">
        <v>331</v>
      </c>
      <c r="B332" s="5">
        <v>281548183</v>
      </c>
      <c r="C332" s="5">
        <v>35793187889</v>
      </c>
      <c r="D332">
        <v>3275</v>
      </c>
      <c r="E332" s="1" t="s">
        <v>1689</v>
      </c>
      <c r="F332" t="s">
        <v>1046</v>
      </c>
      <c r="G332" t="s">
        <v>1047</v>
      </c>
      <c r="H332">
        <v>31472</v>
      </c>
      <c r="I332">
        <v>28644117</v>
      </c>
      <c r="L332" s="2">
        <v>39854</v>
      </c>
      <c r="M332" s="3">
        <f t="shared" si="5"/>
        <v>2009</v>
      </c>
      <c r="N332" s="2" t="s">
        <v>28</v>
      </c>
      <c r="O332">
        <v>245</v>
      </c>
      <c r="P332" s="6">
        <v>2005</v>
      </c>
      <c r="Q332">
        <v>1002.5</v>
      </c>
      <c r="R332">
        <v>401</v>
      </c>
      <c r="S332">
        <v>242</v>
      </c>
      <c r="T332" s="6">
        <v>823.19999999999993</v>
      </c>
      <c r="U332" t="s">
        <v>39</v>
      </c>
      <c r="V332" t="s">
        <v>1677</v>
      </c>
      <c r="W332" t="s">
        <v>1681</v>
      </c>
      <c r="X332" t="s">
        <v>1675</v>
      </c>
      <c r="Y332" t="s">
        <v>1679</v>
      </c>
      <c r="Z332" t="s">
        <v>1680</v>
      </c>
      <c r="AA332" t="s">
        <v>1048</v>
      </c>
      <c r="AB332">
        <v>143</v>
      </c>
      <c r="AC332">
        <v>50</v>
      </c>
      <c r="AE332">
        <v>125</v>
      </c>
      <c r="AH332" t="s">
        <v>41</v>
      </c>
    </row>
    <row r="333" spans="1:34" x14ac:dyDescent="0.25">
      <c r="A333">
        <v>332</v>
      </c>
      <c r="B333" s="5">
        <v>552583141</v>
      </c>
      <c r="C333" s="5">
        <v>96186343169</v>
      </c>
      <c r="D333">
        <v>3265</v>
      </c>
      <c r="E333" s="1" t="s">
        <v>1688</v>
      </c>
      <c r="F333" t="s">
        <v>1049</v>
      </c>
      <c r="G333" t="s">
        <v>1050</v>
      </c>
      <c r="H333">
        <v>33644</v>
      </c>
      <c r="I333">
        <v>36195521</v>
      </c>
      <c r="L333" s="2">
        <v>40214</v>
      </c>
      <c r="M333" s="3">
        <f t="shared" si="5"/>
        <v>2010</v>
      </c>
      <c r="N333" s="2" t="s">
        <v>28</v>
      </c>
      <c r="O333">
        <v>217</v>
      </c>
      <c r="P333" s="6">
        <v>6362</v>
      </c>
      <c r="Q333">
        <v>3181</v>
      </c>
      <c r="R333">
        <v>1272.4000000000001</v>
      </c>
      <c r="S333">
        <v>308</v>
      </c>
      <c r="T333" s="6">
        <v>729.12</v>
      </c>
      <c r="U333" t="s">
        <v>39</v>
      </c>
      <c r="V333" t="s">
        <v>1677</v>
      </c>
      <c r="W333" t="s">
        <v>1681</v>
      </c>
      <c r="X333" t="s">
        <v>1675</v>
      </c>
      <c r="Y333" t="s">
        <v>1679</v>
      </c>
      <c r="Z333" t="s">
        <v>1680</v>
      </c>
      <c r="AA333" t="s">
        <v>1051</v>
      </c>
      <c r="AB333">
        <v>23</v>
      </c>
      <c r="AC333">
        <v>3</v>
      </c>
      <c r="AE333">
        <v>95</v>
      </c>
      <c r="AH333" t="s">
        <v>41</v>
      </c>
    </row>
    <row r="334" spans="1:34" x14ac:dyDescent="0.25">
      <c r="A334">
        <v>333</v>
      </c>
      <c r="B334" s="5">
        <v>511128459</v>
      </c>
      <c r="C334" s="5">
        <v>54089698899</v>
      </c>
      <c r="D334">
        <v>5033</v>
      </c>
      <c r="E334" s="1" t="s">
        <v>1689</v>
      </c>
      <c r="F334" t="s">
        <v>1052</v>
      </c>
      <c r="G334" t="s">
        <v>1053</v>
      </c>
      <c r="H334">
        <v>35901</v>
      </c>
      <c r="I334">
        <v>21941465</v>
      </c>
      <c r="L334" s="2">
        <v>42471</v>
      </c>
      <c r="M334" s="3">
        <f t="shared" si="5"/>
        <v>2016</v>
      </c>
      <c r="N334" s="2" t="s">
        <v>28</v>
      </c>
      <c r="O334">
        <v>242</v>
      </c>
      <c r="P334" s="6">
        <v>21374</v>
      </c>
      <c r="Q334">
        <v>10687</v>
      </c>
      <c r="R334">
        <v>4274.8</v>
      </c>
      <c r="S334">
        <v>176</v>
      </c>
      <c r="T334" s="6">
        <v>813.12</v>
      </c>
      <c r="U334" t="s">
        <v>164</v>
      </c>
      <c r="V334" t="s">
        <v>1677</v>
      </c>
      <c r="W334" t="s">
        <v>1674</v>
      </c>
      <c r="X334" t="s">
        <v>1675</v>
      </c>
      <c r="Y334" t="s">
        <v>1679</v>
      </c>
      <c r="Z334" t="s">
        <v>1680</v>
      </c>
      <c r="AA334" t="s">
        <v>1054</v>
      </c>
      <c r="AB334">
        <v>141</v>
      </c>
      <c r="AC334">
        <v>14</v>
      </c>
      <c r="AE334">
        <v>0</v>
      </c>
      <c r="AH334" t="s">
        <v>31</v>
      </c>
    </row>
    <row r="335" spans="1:34" x14ac:dyDescent="0.25">
      <c r="A335">
        <v>334</v>
      </c>
      <c r="B335" s="5">
        <v>781980383</v>
      </c>
      <c r="C335" s="5">
        <v>89250112980</v>
      </c>
      <c r="D335">
        <v>4517</v>
      </c>
      <c r="E335" s="1" t="s">
        <v>1689</v>
      </c>
      <c r="F335" t="s">
        <v>1055</v>
      </c>
      <c r="G335" t="s">
        <v>1056</v>
      </c>
      <c r="H335">
        <v>36144</v>
      </c>
      <c r="I335">
        <v>40167104</v>
      </c>
      <c r="L335" s="2">
        <v>42714</v>
      </c>
      <c r="M335" s="3">
        <f t="shared" si="5"/>
        <v>2016</v>
      </c>
      <c r="N335" s="2" t="s">
        <v>28</v>
      </c>
      <c r="O335">
        <v>164</v>
      </c>
      <c r="P335" s="6">
        <v>17453</v>
      </c>
      <c r="Q335">
        <v>8726.5</v>
      </c>
      <c r="R335">
        <v>3490.6000000000004</v>
      </c>
      <c r="S335">
        <v>286</v>
      </c>
      <c r="T335" s="6">
        <v>551.04</v>
      </c>
      <c r="U335" t="s">
        <v>39</v>
      </c>
      <c r="V335" t="s">
        <v>1677</v>
      </c>
      <c r="W335" t="s">
        <v>1681</v>
      </c>
      <c r="X335" t="s">
        <v>1675</v>
      </c>
      <c r="Y335" t="s">
        <v>1679</v>
      </c>
      <c r="Z335" t="s">
        <v>1680</v>
      </c>
      <c r="AA335" t="s">
        <v>1057</v>
      </c>
      <c r="AB335">
        <v>134</v>
      </c>
      <c r="AC335">
        <v>8</v>
      </c>
      <c r="AE335">
        <v>1</v>
      </c>
      <c r="AH335" t="s">
        <v>41</v>
      </c>
    </row>
    <row r="336" spans="1:34" x14ac:dyDescent="0.25">
      <c r="A336">
        <v>335</v>
      </c>
      <c r="B336" s="5">
        <v>350726442</v>
      </c>
      <c r="C336" s="5">
        <v>60759508463</v>
      </c>
      <c r="D336">
        <v>7811</v>
      </c>
      <c r="E336" s="1" t="s">
        <v>1689</v>
      </c>
      <c r="F336" t="s">
        <v>1058</v>
      </c>
      <c r="G336" t="s">
        <v>1059</v>
      </c>
      <c r="H336">
        <v>29103</v>
      </c>
      <c r="I336">
        <v>37353966</v>
      </c>
      <c r="L336" s="2">
        <v>40966</v>
      </c>
      <c r="M336" s="3">
        <f t="shared" si="5"/>
        <v>2012</v>
      </c>
      <c r="N336" s="2" t="s">
        <v>28</v>
      </c>
      <c r="O336">
        <v>234</v>
      </c>
      <c r="P336" s="6">
        <v>15615</v>
      </c>
      <c r="Q336">
        <v>7807.5</v>
      </c>
      <c r="R336">
        <v>3123</v>
      </c>
      <c r="S336">
        <v>198</v>
      </c>
      <c r="T336" s="6">
        <v>786.24</v>
      </c>
      <c r="U336" t="s">
        <v>172</v>
      </c>
      <c r="V336" t="s">
        <v>1686</v>
      </c>
      <c r="W336" t="s">
        <v>1674</v>
      </c>
      <c r="X336" t="s">
        <v>1683</v>
      </c>
      <c r="Y336" t="s">
        <v>1679</v>
      </c>
      <c r="Z336" t="s">
        <v>1684</v>
      </c>
      <c r="AA336" t="s">
        <v>1060</v>
      </c>
      <c r="AB336">
        <v>113</v>
      </c>
      <c r="AC336">
        <v>40</v>
      </c>
      <c r="AE336">
        <v>135</v>
      </c>
      <c r="AH336" t="s">
        <v>31</v>
      </c>
    </row>
    <row r="337" spans="1:34" x14ac:dyDescent="0.25">
      <c r="A337">
        <v>336</v>
      </c>
      <c r="B337" s="5">
        <v>817723147</v>
      </c>
      <c r="C337" s="5">
        <v>93989972172</v>
      </c>
      <c r="D337">
        <v>3841</v>
      </c>
      <c r="E337" s="1" t="s">
        <v>1689</v>
      </c>
      <c r="F337" t="s">
        <v>1061</v>
      </c>
      <c r="G337" t="s">
        <v>1062</v>
      </c>
      <c r="H337">
        <v>25984</v>
      </c>
      <c r="I337">
        <v>27065880</v>
      </c>
      <c r="L337" s="2">
        <v>34160</v>
      </c>
      <c r="M337" s="3">
        <f t="shared" si="5"/>
        <v>1993</v>
      </c>
      <c r="N337" s="2" t="s">
        <v>28</v>
      </c>
      <c r="O337">
        <v>192</v>
      </c>
      <c r="P337" s="6">
        <v>24529</v>
      </c>
      <c r="Q337">
        <v>12264.5</v>
      </c>
      <c r="R337">
        <v>4905.8</v>
      </c>
      <c r="S337">
        <v>264</v>
      </c>
      <c r="T337" s="6">
        <v>645.12</v>
      </c>
      <c r="U337" t="s">
        <v>96</v>
      </c>
      <c r="V337" t="s">
        <v>1686</v>
      </c>
      <c r="W337" t="s">
        <v>1687</v>
      </c>
      <c r="X337" t="s">
        <v>1683</v>
      </c>
      <c r="Y337" t="s">
        <v>1679</v>
      </c>
      <c r="Z337" t="s">
        <v>1684</v>
      </c>
      <c r="AA337" t="s">
        <v>1063</v>
      </c>
      <c r="AB337">
        <v>147</v>
      </c>
      <c r="AC337">
        <v>28</v>
      </c>
      <c r="AE337">
        <v>5</v>
      </c>
      <c r="AH337" t="s">
        <v>98</v>
      </c>
    </row>
    <row r="338" spans="1:34" x14ac:dyDescent="0.25">
      <c r="A338">
        <v>337</v>
      </c>
      <c r="B338" s="5">
        <v>422816469</v>
      </c>
      <c r="C338" s="5">
        <v>48311601935</v>
      </c>
      <c r="D338">
        <v>6765</v>
      </c>
      <c r="E338" s="1" t="s">
        <v>1688</v>
      </c>
      <c r="F338" t="s">
        <v>1064</v>
      </c>
      <c r="G338" t="s">
        <v>1065</v>
      </c>
      <c r="H338">
        <v>29258</v>
      </c>
      <c r="I338">
        <v>31970922</v>
      </c>
      <c r="L338" s="2">
        <v>39920</v>
      </c>
      <c r="M338" s="3">
        <f t="shared" si="5"/>
        <v>2009</v>
      </c>
      <c r="N338" s="2" t="s">
        <v>28</v>
      </c>
      <c r="O338">
        <v>184</v>
      </c>
      <c r="P338" s="6">
        <v>4864</v>
      </c>
      <c r="Q338">
        <v>2432</v>
      </c>
      <c r="R338">
        <v>972.80000000000007</v>
      </c>
      <c r="S338">
        <v>308</v>
      </c>
      <c r="T338" s="6">
        <v>618.24</v>
      </c>
      <c r="U338" t="s">
        <v>127</v>
      </c>
      <c r="V338" t="s">
        <v>1686</v>
      </c>
      <c r="W338" t="s">
        <v>1685</v>
      </c>
      <c r="X338" t="s">
        <v>1683</v>
      </c>
      <c r="Y338" t="s">
        <v>1679</v>
      </c>
      <c r="Z338" t="s">
        <v>1684</v>
      </c>
      <c r="AA338" t="s">
        <v>1066</v>
      </c>
      <c r="AB338">
        <v>143</v>
      </c>
      <c r="AC338">
        <v>0</v>
      </c>
      <c r="AE338">
        <v>51</v>
      </c>
      <c r="AH338" t="s">
        <v>57</v>
      </c>
    </row>
    <row r="339" spans="1:34" x14ac:dyDescent="0.25">
      <c r="A339">
        <v>338</v>
      </c>
      <c r="B339" s="5">
        <v>936325945</v>
      </c>
      <c r="C339" s="5">
        <v>73212606115</v>
      </c>
      <c r="D339">
        <v>4852</v>
      </c>
      <c r="E339" s="1" t="s">
        <v>1689</v>
      </c>
      <c r="F339" t="s">
        <v>1067</v>
      </c>
      <c r="G339" t="s">
        <v>1068</v>
      </c>
      <c r="H339">
        <v>36197</v>
      </c>
      <c r="I339">
        <v>44171824</v>
      </c>
      <c r="L339" s="2">
        <v>42767</v>
      </c>
      <c r="M339" s="3">
        <f t="shared" si="5"/>
        <v>2017</v>
      </c>
      <c r="N339" s="2" t="s">
        <v>28</v>
      </c>
      <c r="O339">
        <v>188</v>
      </c>
      <c r="P339" s="6">
        <v>22410</v>
      </c>
      <c r="Q339">
        <v>11205</v>
      </c>
      <c r="R339">
        <v>4482</v>
      </c>
      <c r="S339">
        <v>176</v>
      </c>
      <c r="T339" s="6">
        <v>631.67999999999995</v>
      </c>
      <c r="U339" t="s">
        <v>51</v>
      </c>
      <c r="V339" t="s">
        <v>1682</v>
      </c>
      <c r="W339" t="s">
        <v>1674</v>
      </c>
      <c r="X339" t="s">
        <v>1683</v>
      </c>
      <c r="Y339" t="s">
        <v>1679</v>
      </c>
      <c r="Z339" t="s">
        <v>1684</v>
      </c>
      <c r="AA339" t="s">
        <v>1069</v>
      </c>
      <c r="AB339">
        <v>143</v>
      </c>
      <c r="AC339">
        <v>27</v>
      </c>
      <c r="AE339">
        <v>188</v>
      </c>
      <c r="AH339" t="s">
        <v>31</v>
      </c>
    </row>
    <row r="340" spans="1:34" x14ac:dyDescent="0.25">
      <c r="A340">
        <v>339</v>
      </c>
      <c r="B340" s="5">
        <v>783537646</v>
      </c>
      <c r="C340" s="5">
        <v>80379929319</v>
      </c>
      <c r="D340">
        <v>6187</v>
      </c>
      <c r="E340" s="1" t="s">
        <v>1689</v>
      </c>
      <c r="F340" t="s">
        <v>1070</v>
      </c>
      <c r="G340" t="s">
        <v>1071</v>
      </c>
      <c r="H340">
        <v>30011</v>
      </c>
      <c r="I340">
        <v>36571944</v>
      </c>
      <c r="L340" s="2">
        <v>40835</v>
      </c>
      <c r="M340" s="3">
        <f t="shared" si="5"/>
        <v>2011</v>
      </c>
      <c r="N340" s="2">
        <v>43105</v>
      </c>
      <c r="O340">
        <v>223</v>
      </c>
      <c r="P340" s="6">
        <v>1332</v>
      </c>
      <c r="Q340">
        <v>666</v>
      </c>
      <c r="R340">
        <v>266.40000000000003</v>
      </c>
      <c r="S340">
        <v>176</v>
      </c>
      <c r="T340" s="6">
        <v>749.28000000000009</v>
      </c>
      <c r="U340" t="s">
        <v>78</v>
      </c>
      <c r="V340" t="s">
        <v>1680</v>
      </c>
      <c r="W340" t="s">
        <v>1678</v>
      </c>
      <c r="X340" t="s">
        <v>1675</v>
      </c>
      <c r="Y340" t="s">
        <v>61</v>
      </c>
      <c r="Z340" t="s">
        <v>1676</v>
      </c>
      <c r="AA340" t="s">
        <v>1072</v>
      </c>
      <c r="AB340">
        <v>33</v>
      </c>
      <c r="AC340">
        <v>32</v>
      </c>
      <c r="AE340">
        <v>131</v>
      </c>
      <c r="AH340" t="s">
        <v>36</v>
      </c>
    </row>
    <row r="341" spans="1:34" x14ac:dyDescent="0.25">
      <c r="A341">
        <v>340</v>
      </c>
      <c r="B341" s="5">
        <v>905415993</v>
      </c>
      <c r="C341" s="5">
        <v>21284980627</v>
      </c>
      <c r="D341">
        <v>4098</v>
      </c>
      <c r="E341" s="1" t="s">
        <v>1689</v>
      </c>
      <c r="F341" t="s">
        <v>1073</v>
      </c>
      <c r="G341" t="s">
        <v>1074</v>
      </c>
      <c r="H341">
        <v>27879</v>
      </c>
      <c r="I341">
        <v>23244211</v>
      </c>
      <c r="L341" s="2">
        <v>36945</v>
      </c>
      <c r="M341" s="3">
        <f t="shared" si="5"/>
        <v>2001</v>
      </c>
      <c r="N341" s="2" t="s">
        <v>28</v>
      </c>
      <c r="O341">
        <v>184</v>
      </c>
      <c r="P341" s="6">
        <v>4419</v>
      </c>
      <c r="Q341">
        <v>2209.5</v>
      </c>
      <c r="R341">
        <v>883.80000000000007</v>
      </c>
      <c r="S341">
        <v>198</v>
      </c>
      <c r="T341" s="6">
        <v>618.24</v>
      </c>
      <c r="U341" t="s">
        <v>168</v>
      </c>
      <c r="V341" t="s">
        <v>1677</v>
      </c>
      <c r="W341" t="s">
        <v>1687</v>
      </c>
      <c r="X341" t="s">
        <v>1675</v>
      </c>
      <c r="Y341" t="s">
        <v>1679</v>
      </c>
      <c r="Z341" t="s">
        <v>1680</v>
      </c>
      <c r="AA341" t="s">
        <v>1075</v>
      </c>
      <c r="AB341">
        <v>100</v>
      </c>
      <c r="AC341">
        <v>54</v>
      </c>
      <c r="AE341">
        <v>7</v>
      </c>
      <c r="AH341" t="s">
        <v>98</v>
      </c>
    </row>
    <row r="342" spans="1:34" x14ac:dyDescent="0.25">
      <c r="A342">
        <v>341</v>
      </c>
      <c r="B342" s="5">
        <v>167225119</v>
      </c>
      <c r="C342" s="5">
        <v>57342935862</v>
      </c>
      <c r="D342">
        <v>2593</v>
      </c>
      <c r="E342" s="1" t="s">
        <v>1689</v>
      </c>
      <c r="F342" t="s">
        <v>1076</v>
      </c>
      <c r="G342" t="s">
        <v>1077</v>
      </c>
      <c r="H342">
        <v>27607</v>
      </c>
      <c r="I342">
        <v>30675347</v>
      </c>
      <c r="L342" s="2">
        <v>40172</v>
      </c>
      <c r="M342" s="3">
        <f t="shared" si="5"/>
        <v>2009</v>
      </c>
      <c r="N342" s="2">
        <v>41580</v>
      </c>
      <c r="O342">
        <v>246</v>
      </c>
      <c r="P342" s="6">
        <v>24747</v>
      </c>
      <c r="Q342">
        <v>12373.5</v>
      </c>
      <c r="R342">
        <v>4949.4000000000005</v>
      </c>
      <c r="S342">
        <v>242</v>
      </c>
      <c r="T342" s="6">
        <v>826.56</v>
      </c>
      <c r="U342" t="s">
        <v>51</v>
      </c>
      <c r="V342" t="s">
        <v>1682</v>
      </c>
      <c r="W342" t="s">
        <v>1674</v>
      </c>
      <c r="X342" t="s">
        <v>1683</v>
      </c>
      <c r="Y342" t="s">
        <v>1679</v>
      </c>
      <c r="Z342" t="s">
        <v>1684</v>
      </c>
      <c r="AA342" t="s">
        <v>1078</v>
      </c>
      <c r="AB342">
        <v>79</v>
      </c>
      <c r="AC342">
        <v>47</v>
      </c>
      <c r="AE342">
        <v>34</v>
      </c>
      <c r="AH342" t="s">
        <v>31</v>
      </c>
    </row>
    <row r="343" spans="1:34" x14ac:dyDescent="0.25">
      <c r="A343">
        <v>342</v>
      </c>
      <c r="B343" s="5">
        <v>369626839</v>
      </c>
      <c r="C343" s="5">
        <v>30234766197</v>
      </c>
      <c r="D343">
        <v>2754</v>
      </c>
      <c r="E343" s="1" t="s">
        <v>1689</v>
      </c>
      <c r="F343" t="s">
        <v>1079</v>
      </c>
      <c r="G343" t="s">
        <v>1080</v>
      </c>
      <c r="H343">
        <v>31638</v>
      </c>
      <c r="I343">
        <v>41735090</v>
      </c>
      <c r="L343" s="2">
        <v>40635</v>
      </c>
      <c r="M343" s="3">
        <f t="shared" si="5"/>
        <v>2011</v>
      </c>
      <c r="N343" s="2" t="s">
        <v>28</v>
      </c>
      <c r="O343">
        <v>220</v>
      </c>
      <c r="P343" s="6">
        <v>16030</v>
      </c>
      <c r="Q343">
        <v>8015</v>
      </c>
      <c r="R343">
        <v>3206</v>
      </c>
      <c r="S343">
        <v>198</v>
      </c>
      <c r="T343" s="6">
        <v>739.19999999999993</v>
      </c>
      <c r="U343" t="s">
        <v>68</v>
      </c>
      <c r="V343" t="s">
        <v>1686</v>
      </c>
      <c r="W343" t="s">
        <v>1681</v>
      </c>
      <c r="X343" t="s">
        <v>1683</v>
      </c>
      <c r="Y343" t="s">
        <v>1679</v>
      </c>
      <c r="Z343" t="s">
        <v>1684</v>
      </c>
      <c r="AA343" t="s">
        <v>1081</v>
      </c>
      <c r="AB343">
        <v>97</v>
      </c>
      <c r="AC343">
        <v>43</v>
      </c>
      <c r="AE343">
        <v>200</v>
      </c>
      <c r="AH343" t="s">
        <v>41</v>
      </c>
    </row>
    <row r="344" spans="1:34" x14ac:dyDescent="0.25">
      <c r="A344">
        <v>343</v>
      </c>
      <c r="B344" s="5">
        <v>147598371</v>
      </c>
      <c r="C344" s="5">
        <v>22636401585</v>
      </c>
      <c r="D344">
        <v>5980</v>
      </c>
      <c r="E344" s="1" t="s">
        <v>1689</v>
      </c>
      <c r="F344" t="s">
        <v>1082</v>
      </c>
      <c r="G344" t="s">
        <v>1083</v>
      </c>
      <c r="H344">
        <v>32174</v>
      </c>
      <c r="I344">
        <v>25263000</v>
      </c>
      <c r="L344" s="2">
        <v>38744</v>
      </c>
      <c r="M344" s="3">
        <f t="shared" si="5"/>
        <v>2006</v>
      </c>
      <c r="N344" s="2" t="s">
        <v>28</v>
      </c>
      <c r="O344">
        <v>191</v>
      </c>
      <c r="P344" s="6">
        <v>2121</v>
      </c>
      <c r="Q344">
        <v>1060.5</v>
      </c>
      <c r="R344">
        <v>424.20000000000005</v>
      </c>
      <c r="S344">
        <v>220</v>
      </c>
      <c r="T344" s="6">
        <v>641.76</v>
      </c>
      <c r="U344" t="s">
        <v>78</v>
      </c>
      <c r="V344" t="s">
        <v>1680</v>
      </c>
      <c r="W344" t="s">
        <v>1678</v>
      </c>
      <c r="X344" t="s">
        <v>1675</v>
      </c>
      <c r="Y344" t="s">
        <v>61</v>
      </c>
      <c r="Z344" t="s">
        <v>1676</v>
      </c>
      <c r="AA344" t="s">
        <v>1084</v>
      </c>
      <c r="AB344">
        <v>66</v>
      </c>
      <c r="AC344">
        <v>51</v>
      </c>
      <c r="AE344">
        <v>189</v>
      </c>
      <c r="AH344" t="s">
        <v>36</v>
      </c>
    </row>
    <row r="345" spans="1:34" x14ac:dyDescent="0.25">
      <c r="A345">
        <v>344</v>
      </c>
      <c r="B345" s="5">
        <v>164912526</v>
      </c>
      <c r="C345" s="5">
        <v>91829316452</v>
      </c>
      <c r="D345">
        <v>1018</v>
      </c>
      <c r="E345" s="1" t="s">
        <v>1689</v>
      </c>
      <c r="F345" t="s">
        <v>1085</v>
      </c>
      <c r="G345" t="s">
        <v>1086</v>
      </c>
      <c r="H345">
        <v>32299</v>
      </c>
      <c r="I345">
        <v>32734988</v>
      </c>
      <c r="L345" s="2">
        <v>40857</v>
      </c>
      <c r="M345" s="3">
        <f t="shared" si="5"/>
        <v>2011</v>
      </c>
      <c r="N345" s="2" t="s">
        <v>28</v>
      </c>
      <c r="O345">
        <v>240</v>
      </c>
      <c r="P345" s="6">
        <v>5517</v>
      </c>
      <c r="Q345">
        <v>2758.5</v>
      </c>
      <c r="R345">
        <v>1103.4000000000001</v>
      </c>
      <c r="S345">
        <v>176</v>
      </c>
      <c r="T345" s="6">
        <v>806.4</v>
      </c>
      <c r="U345" t="s">
        <v>168</v>
      </c>
      <c r="V345" t="s">
        <v>1677</v>
      </c>
      <c r="W345" t="s">
        <v>1687</v>
      </c>
      <c r="X345" t="s">
        <v>1675</v>
      </c>
      <c r="Y345" t="s">
        <v>1679</v>
      </c>
      <c r="Z345" t="s">
        <v>1680</v>
      </c>
      <c r="AA345" t="s">
        <v>1087</v>
      </c>
      <c r="AB345">
        <v>98</v>
      </c>
      <c r="AC345">
        <v>30</v>
      </c>
      <c r="AE345">
        <v>128</v>
      </c>
      <c r="AH345" t="s">
        <v>98</v>
      </c>
    </row>
    <row r="346" spans="1:34" x14ac:dyDescent="0.25">
      <c r="A346">
        <v>345</v>
      </c>
      <c r="B346" s="5">
        <v>562363792</v>
      </c>
      <c r="C346" s="5">
        <v>71977928588</v>
      </c>
      <c r="D346">
        <v>7391</v>
      </c>
      <c r="E346" s="1" t="s">
        <v>1689</v>
      </c>
      <c r="F346" t="s">
        <v>1088</v>
      </c>
      <c r="G346" t="s">
        <v>1089</v>
      </c>
      <c r="H346">
        <v>32025</v>
      </c>
      <c r="I346">
        <v>44774280</v>
      </c>
      <c r="L346" s="2">
        <v>39132</v>
      </c>
      <c r="M346" s="3">
        <f t="shared" si="5"/>
        <v>2007</v>
      </c>
      <c r="N346" s="2" t="s">
        <v>28</v>
      </c>
      <c r="O346">
        <v>242</v>
      </c>
      <c r="P346" s="6">
        <v>3885</v>
      </c>
      <c r="Q346">
        <v>1942.5</v>
      </c>
      <c r="R346">
        <v>777</v>
      </c>
      <c r="S346">
        <v>308</v>
      </c>
      <c r="T346" s="6">
        <v>813.12</v>
      </c>
      <c r="U346" t="s">
        <v>64</v>
      </c>
      <c r="V346" t="s">
        <v>1682</v>
      </c>
      <c r="W346" t="s">
        <v>1685</v>
      </c>
      <c r="X346" t="s">
        <v>1683</v>
      </c>
      <c r="Y346" t="s">
        <v>1679</v>
      </c>
      <c r="Z346" t="s">
        <v>1684</v>
      </c>
      <c r="AA346" t="s">
        <v>1090</v>
      </c>
      <c r="AB346">
        <v>23</v>
      </c>
      <c r="AC346">
        <v>44</v>
      </c>
      <c r="AE346">
        <v>172</v>
      </c>
      <c r="AH346" t="s">
        <v>57</v>
      </c>
    </row>
    <row r="347" spans="1:34" x14ac:dyDescent="0.25">
      <c r="A347">
        <v>346</v>
      </c>
      <c r="B347" s="5">
        <v>344055950</v>
      </c>
      <c r="C347" s="5">
        <v>66670708686</v>
      </c>
      <c r="D347">
        <v>3996</v>
      </c>
      <c r="E347" s="1" t="s">
        <v>1688</v>
      </c>
      <c r="F347" t="s">
        <v>1091</v>
      </c>
      <c r="G347" t="s">
        <v>1092</v>
      </c>
      <c r="H347">
        <v>35315</v>
      </c>
      <c r="I347">
        <v>33297996</v>
      </c>
      <c r="L347" s="2">
        <v>41885</v>
      </c>
      <c r="M347" s="3">
        <f t="shared" si="5"/>
        <v>2014</v>
      </c>
      <c r="N347" s="2" t="s">
        <v>28</v>
      </c>
      <c r="O347">
        <v>150</v>
      </c>
      <c r="P347" s="6">
        <v>10929</v>
      </c>
      <c r="Q347">
        <v>5464.5</v>
      </c>
      <c r="R347">
        <v>2185.8000000000002</v>
      </c>
      <c r="S347">
        <v>154</v>
      </c>
      <c r="T347" s="6">
        <v>504</v>
      </c>
      <c r="U347" t="s">
        <v>82</v>
      </c>
      <c r="V347" t="s">
        <v>1677</v>
      </c>
      <c r="W347" t="s">
        <v>1685</v>
      </c>
      <c r="X347" t="s">
        <v>1675</v>
      </c>
      <c r="Y347" t="s">
        <v>1679</v>
      </c>
      <c r="Z347" t="s">
        <v>1680</v>
      </c>
      <c r="AA347" t="s">
        <v>1093</v>
      </c>
      <c r="AB347">
        <v>55</v>
      </c>
      <c r="AC347">
        <v>27</v>
      </c>
      <c r="AE347">
        <v>125</v>
      </c>
      <c r="AH347" t="s">
        <v>57</v>
      </c>
    </row>
    <row r="348" spans="1:34" x14ac:dyDescent="0.25">
      <c r="A348">
        <v>347</v>
      </c>
      <c r="B348" s="5">
        <v>299620674</v>
      </c>
      <c r="C348" s="5">
        <v>19408814256</v>
      </c>
      <c r="D348">
        <v>4036</v>
      </c>
      <c r="E348" s="1" t="s">
        <v>1688</v>
      </c>
      <c r="F348" t="s">
        <v>1094</v>
      </c>
      <c r="G348" t="s">
        <v>1095</v>
      </c>
      <c r="H348">
        <v>35731</v>
      </c>
      <c r="I348">
        <v>49294767</v>
      </c>
      <c r="L348" s="2">
        <v>42301</v>
      </c>
      <c r="M348" s="3">
        <f t="shared" si="5"/>
        <v>2015</v>
      </c>
      <c r="N348" s="2" t="s">
        <v>28</v>
      </c>
      <c r="O348">
        <v>163</v>
      </c>
      <c r="P348" s="6">
        <v>23708</v>
      </c>
      <c r="Q348">
        <v>11854</v>
      </c>
      <c r="R348">
        <v>4741.6000000000004</v>
      </c>
      <c r="S348">
        <v>220</v>
      </c>
      <c r="T348" s="6">
        <v>547.67999999999995</v>
      </c>
      <c r="U348" t="s">
        <v>39</v>
      </c>
      <c r="V348" t="s">
        <v>1677</v>
      </c>
      <c r="W348" t="s">
        <v>1681</v>
      </c>
      <c r="X348" t="s">
        <v>1675</v>
      </c>
      <c r="Y348" t="s">
        <v>1679</v>
      </c>
      <c r="Z348" t="s">
        <v>1680</v>
      </c>
      <c r="AA348" t="s">
        <v>1096</v>
      </c>
      <c r="AB348">
        <v>34</v>
      </c>
      <c r="AC348">
        <v>45</v>
      </c>
      <c r="AE348">
        <v>147</v>
      </c>
      <c r="AH348" t="s">
        <v>41</v>
      </c>
    </row>
    <row r="349" spans="1:34" x14ac:dyDescent="0.25">
      <c r="A349">
        <v>348</v>
      </c>
      <c r="B349" s="5">
        <v>837235079</v>
      </c>
      <c r="C349" s="5">
        <v>37557762383</v>
      </c>
      <c r="D349">
        <v>4521</v>
      </c>
      <c r="E349" s="1" t="s">
        <v>1689</v>
      </c>
      <c r="F349" t="s">
        <v>1097</v>
      </c>
      <c r="G349" t="s">
        <v>1098</v>
      </c>
      <c r="H349">
        <v>36164</v>
      </c>
      <c r="I349">
        <v>44319416</v>
      </c>
      <c r="L349" s="2">
        <v>42734</v>
      </c>
      <c r="M349" s="3">
        <f t="shared" si="5"/>
        <v>2016</v>
      </c>
      <c r="N349" s="2">
        <v>43105</v>
      </c>
      <c r="O349">
        <v>236</v>
      </c>
      <c r="P349" s="6">
        <v>11997</v>
      </c>
      <c r="Q349">
        <v>5998.5</v>
      </c>
      <c r="R349">
        <v>2399.4</v>
      </c>
      <c r="S349">
        <v>308</v>
      </c>
      <c r="T349" s="6">
        <v>792.96</v>
      </c>
      <c r="U349" t="s">
        <v>51</v>
      </c>
      <c r="V349" t="s">
        <v>1682</v>
      </c>
      <c r="W349" t="s">
        <v>1674</v>
      </c>
      <c r="X349" t="s">
        <v>1683</v>
      </c>
      <c r="Y349" t="s">
        <v>1679</v>
      </c>
      <c r="Z349" t="s">
        <v>1684</v>
      </c>
      <c r="AA349" t="s">
        <v>1099</v>
      </c>
      <c r="AB349">
        <v>37</v>
      </c>
      <c r="AC349">
        <v>32</v>
      </c>
      <c r="AE349">
        <v>111</v>
      </c>
      <c r="AH349" t="s">
        <v>31</v>
      </c>
    </row>
    <row r="350" spans="1:34" x14ac:dyDescent="0.25">
      <c r="A350">
        <v>349</v>
      </c>
      <c r="B350" s="5">
        <v>965061898</v>
      </c>
      <c r="C350" s="5">
        <v>55657248172</v>
      </c>
      <c r="D350">
        <v>1006</v>
      </c>
      <c r="E350" s="1" t="s">
        <v>1689</v>
      </c>
      <c r="F350" t="s">
        <v>1100</v>
      </c>
      <c r="G350" t="s">
        <v>1101</v>
      </c>
      <c r="H350">
        <v>27521</v>
      </c>
      <c r="I350">
        <v>37648796</v>
      </c>
      <c r="L350" s="2">
        <v>38218</v>
      </c>
      <c r="M350" s="3">
        <f t="shared" si="5"/>
        <v>2004</v>
      </c>
      <c r="N350" s="2">
        <v>39242</v>
      </c>
      <c r="O350">
        <v>221</v>
      </c>
      <c r="P350" s="6">
        <v>1673</v>
      </c>
      <c r="Q350">
        <v>836.5</v>
      </c>
      <c r="R350">
        <v>334.6</v>
      </c>
      <c r="S350">
        <v>308</v>
      </c>
      <c r="T350" s="6">
        <v>742.56</v>
      </c>
      <c r="U350" t="s">
        <v>78</v>
      </c>
      <c r="V350" t="s">
        <v>1680</v>
      </c>
      <c r="W350" t="s">
        <v>1678</v>
      </c>
      <c r="X350" t="s">
        <v>1675</v>
      </c>
      <c r="Y350" t="s">
        <v>61</v>
      </c>
      <c r="Z350" t="s">
        <v>1676</v>
      </c>
      <c r="AA350" t="s">
        <v>1102</v>
      </c>
      <c r="AB350">
        <v>85</v>
      </c>
      <c r="AC350">
        <v>13</v>
      </c>
      <c r="AE350">
        <v>104</v>
      </c>
      <c r="AH350" t="s">
        <v>36</v>
      </c>
    </row>
    <row r="351" spans="1:34" x14ac:dyDescent="0.25">
      <c r="A351">
        <v>350</v>
      </c>
      <c r="B351" s="5">
        <v>672661371</v>
      </c>
      <c r="C351" s="5">
        <v>71480506836</v>
      </c>
      <c r="D351">
        <v>1152</v>
      </c>
      <c r="E351" s="1" t="s">
        <v>1688</v>
      </c>
      <c r="F351" t="s">
        <v>1103</v>
      </c>
      <c r="G351" t="s">
        <v>1104</v>
      </c>
      <c r="H351">
        <v>29569</v>
      </c>
      <c r="I351">
        <v>41083214</v>
      </c>
      <c r="L351" s="2">
        <v>39061</v>
      </c>
      <c r="M351" s="3">
        <f t="shared" si="5"/>
        <v>2006</v>
      </c>
      <c r="N351" s="2" t="s">
        <v>28</v>
      </c>
      <c r="O351">
        <v>236</v>
      </c>
      <c r="P351" s="6">
        <v>15640</v>
      </c>
      <c r="Q351">
        <v>7820</v>
      </c>
      <c r="R351">
        <v>3128</v>
      </c>
      <c r="S351">
        <v>264</v>
      </c>
      <c r="T351" s="6">
        <v>792.96</v>
      </c>
      <c r="U351" t="s">
        <v>92</v>
      </c>
      <c r="V351" t="s">
        <v>1686</v>
      </c>
      <c r="W351" t="s">
        <v>1678</v>
      </c>
      <c r="X351" t="s">
        <v>1683</v>
      </c>
      <c r="Y351" t="s">
        <v>1679</v>
      </c>
      <c r="Z351" t="s">
        <v>1684</v>
      </c>
      <c r="AA351" t="s">
        <v>1105</v>
      </c>
      <c r="AB351">
        <v>64</v>
      </c>
      <c r="AC351">
        <v>59</v>
      </c>
      <c r="AE351">
        <v>9</v>
      </c>
      <c r="AH351" t="s">
        <v>36</v>
      </c>
    </row>
    <row r="352" spans="1:34" x14ac:dyDescent="0.25">
      <c r="A352">
        <v>351</v>
      </c>
      <c r="B352" s="5">
        <v>470486601</v>
      </c>
      <c r="C352" s="3">
        <v>5507276868</v>
      </c>
      <c r="D352">
        <v>1641</v>
      </c>
      <c r="E352" s="1" t="s">
        <v>1688</v>
      </c>
      <c r="F352" t="s">
        <v>1106</v>
      </c>
      <c r="G352" t="s">
        <v>1107</v>
      </c>
      <c r="H352">
        <v>29468</v>
      </c>
      <c r="I352">
        <v>46976183</v>
      </c>
      <c r="L352" s="2">
        <v>40670</v>
      </c>
      <c r="M352" s="3">
        <f t="shared" si="5"/>
        <v>2011</v>
      </c>
      <c r="N352" s="2">
        <v>43105</v>
      </c>
      <c r="O352">
        <v>209</v>
      </c>
      <c r="P352" s="6">
        <v>9479</v>
      </c>
      <c r="Q352">
        <v>4739.5</v>
      </c>
      <c r="R352">
        <v>1895.8000000000002</v>
      </c>
      <c r="S352">
        <v>242</v>
      </c>
      <c r="T352" s="6">
        <v>702.24</v>
      </c>
      <c r="U352" t="s">
        <v>168</v>
      </c>
      <c r="V352" t="s">
        <v>1677</v>
      </c>
      <c r="W352" t="s">
        <v>1687</v>
      </c>
      <c r="X352" t="s">
        <v>1675</v>
      </c>
      <c r="Y352" t="s">
        <v>1679</v>
      </c>
      <c r="Z352" t="s">
        <v>1680</v>
      </c>
      <c r="AA352" t="s">
        <v>1108</v>
      </c>
      <c r="AB352">
        <v>37</v>
      </c>
      <c r="AC352">
        <v>34</v>
      </c>
      <c r="AE352">
        <v>168</v>
      </c>
      <c r="AH352" t="s">
        <v>98</v>
      </c>
    </row>
    <row r="353" spans="1:34" x14ac:dyDescent="0.25">
      <c r="A353">
        <v>352</v>
      </c>
      <c r="B353" s="5">
        <v>182819307</v>
      </c>
      <c r="C353" s="5">
        <v>56437848500</v>
      </c>
      <c r="D353">
        <v>2827</v>
      </c>
      <c r="E353" s="1" t="s">
        <v>1689</v>
      </c>
      <c r="F353" t="s">
        <v>1109</v>
      </c>
      <c r="G353" t="s">
        <v>1110</v>
      </c>
      <c r="H353">
        <v>28321</v>
      </c>
      <c r="I353">
        <v>38071737</v>
      </c>
      <c r="L353" s="2">
        <v>35198</v>
      </c>
      <c r="M353" s="3">
        <f t="shared" si="5"/>
        <v>1996</v>
      </c>
      <c r="N353" s="2" t="s">
        <v>28</v>
      </c>
      <c r="O353">
        <v>236</v>
      </c>
      <c r="P353" s="6">
        <v>7832</v>
      </c>
      <c r="Q353">
        <v>3916</v>
      </c>
      <c r="R353">
        <v>1566.4</v>
      </c>
      <c r="S353">
        <v>286</v>
      </c>
      <c r="T353" s="6">
        <v>792.96</v>
      </c>
      <c r="U353" t="s">
        <v>317</v>
      </c>
      <c r="V353" t="s">
        <v>1680</v>
      </c>
      <c r="W353" t="s">
        <v>1681</v>
      </c>
      <c r="X353" t="s">
        <v>1675</v>
      </c>
      <c r="Y353" t="s">
        <v>61</v>
      </c>
      <c r="Z353" t="s">
        <v>1684</v>
      </c>
      <c r="AA353" t="s">
        <v>1111</v>
      </c>
      <c r="AB353">
        <v>21</v>
      </c>
      <c r="AC353">
        <v>60</v>
      </c>
      <c r="AE353">
        <v>88</v>
      </c>
      <c r="AH353" t="s">
        <v>41</v>
      </c>
    </row>
    <row r="354" spans="1:34" x14ac:dyDescent="0.25">
      <c r="A354">
        <v>353</v>
      </c>
      <c r="B354" s="5">
        <v>719703067</v>
      </c>
      <c r="C354" s="5">
        <v>45580740306</v>
      </c>
      <c r="D354">
        <v>6778</v>
      </c>
      <c r="E354" s="1" t="s">
        <v>1688</v>
      </c>
      <c r="F354" t="s">
        <v>1112</v>
      </c>
      <c r="G354" t="s">
        <v>1113</v>
      </c>
      <c r="H354">
        <v>27189</v>
      </c>
      <c r="I354">
        <v>32763776</v>
      </c>
      <c r="L354" s="2">
        <v>36286</v>
      </c>
      <c r="M354" s="3">
        <f t="shared" si="5"/>
        <v>1999</v>
      </c>
      <c r="N354" s="2" t="s">
        <v>28</v>
      </c>
      <c r="O354">
        <v>225</v>
      </c>
      <c r="P354" s="6">
        <v>21919</v>
      </c>
      <c r="Q354">
        <v>10959.5</v>
      </c>
      <c r="R354">
        <v>4383.8</v>
      </c>
      <c r="S354">
        <v>220</v>
      </c>
      <c r="T354" s="6">
        <v>756</v>
      </c>
      <c r="U354" t="s">
        <v>127</v>
      </c>
      <c r="V354" t="s">
        <v>1686</v>
      </c>
      <c r="W354" t="s">
        <v>1685</v>
      </c>
      <c r="X354" t="s">
        <v>1683</v>
      </c>
      <c r="Y354" t="s">
        <v>1679</v>
      </c>
      <c r="Z354" t="s">
        <v>1684</v>
      </c>
      <c r="AA354" t="s">
        <v>1114</v>
      </c>
      <c r="AB354">
        <v>92</v>
      </c>
      <c r="AC354">
        <v>42</v>
      </c>
      <c r="AE354">
        <v>157</v>
      </c>
      <c r="AH354" t="s">
        <v>57</v>
      </c>
    </row>
    <row r="355" spans="1:34" x14ac:dyDescent="0.25">
      <c r="A355">
        <v>354</v>
      </c>
      <c r="B355" s="5">
        <v>650342478</v>
      </c>
      <c r="C355" s="5">
        <v>52663979333</v>
      </c>
      <c r="D355">
        <v>4178</v>
      </c>
      <c r="E355" s="1" t="s">
        <v>1689</v>
      </c>
      <c r="F355" t="s">
        <v>1115</v>
      </c>
      <c r="G355" t="s">
        <v>1116</v>
      </c>
      <c r="H355">
        <v>26592</v>
      </c>
      <c r="I355">
        <v>40154642</v>
      </c>
      <c r="L355" s="2">
        <v>40168</v>
      </c>
      <c r="M355" s="3">
        <f t="shared" si="5"/>
        <v>2009</v>
      </c>
      <c r="N355" s="2" t="s">
        <v>28</v>
      </c>
      <c r="O355">
        <v>250</v>
      </c>
      <c r="P355" s="6">
        <v>16136</v>
      </c>
      <c r="Q355">
        <v>8068</v>
      </c>
      <c r="R355">
        <v>3227.2000000000003</v>
      </c>
      <c r="S355">
        <v>176</v>
      </c>
      <c r="T355" s="6">
        <v>840</v>
      </c>
      <c r="U355" t="s">
        <v>150</v>
      </c>
      <c r="V355" t="s">
        <v>1680</v>
      </c>
      <c r="W355" t="s">
        <v>1674</v>
      </c>
      <c r="X355" t="s">
        <v>1675</v>
      </c>
      <c r="Y355" t="s">
        <v>61</v>
      </c>
      <c r="Z355" t="s">
        <v>1684</v>
      </c>
      <c r="AA355" t="s">
        <v>1117</v>
      </c>
      <c r="AB355">
        <v>41</v>
      </c>
      <c r="AC355">
        <v>43</v>
      </c>
      <c r="AE355">
        <v>166</v>
      </c>
      <c r="AH355" t="s">
        <v>31</v>
      </c>
    </row>
    <row r="356" spans="1:34" x14ac:dyDescent="0.25">
      <c r="A356">
        <v>355</v>
      </c>
      <c r="B356" s="5">
        <v>771948938</v>
      </c>
      <c r="C356" s="5">
        <v>47081234076</v>
      </c>
      <c r="D356">
        <v>3989</v>
      </c>
      <c r="E356" s="1" t="s">
        <v>1688</v>
      </c>
      <c r="F356" t="s">
        <v>1118</v>
      </c>
      <c r="G356" t="s">
        <v>1119</v>
      </c>
      <c r="H356">
        <v>28852</v>
      </c>
      <c r="I356">
        <v>32613748</v>
      </c>
      <c r="L356" s="2">
        <v>35422</v>
      </c>
      <c r="M356" s="3">
        <f t="shared" si="5"/>
        <v>1996</v>
      </c>
      <c r="N356" s="2" t="s">
        <v>28</v>
      </c>
      <c r="O356">
        <v>213</v>
      </c>
      <c r="P356" s="6">
        <v>15917</v>
      </c>
      <c r="Q356">
        <v>7958.5</v>
      </c>
      <c r="R356">
        <v>3183.4</v>
      </c>
      <c r="S356">
        <v>176</v>
      </c>
      <c r="T356" s="6">
        <v>715.68</v>
      </c>
      <c r="U356" t="s">
        <v>96</v>
      </c>
      <c r="V356" t="s">
        <v>1686</v>
      </c>
      <c r="W356" t="s">
        <v>1687</v>
      </c>
      <c r="X356" t="s">
        <v>1683</v>
      </c>
      <c r="Y356" t="s">
        <v>1679</v>
      </c>
      <c r="Z356" t="s">
        <v>1684</v>
      </c>
      <c r="AA356" t="s">
        <v>1120</v>
      </c>
      <c r="AB356">
        <v>141</v>
      </c>
      <c r="AC356">
        <v>17</v>
      </c>
      <c r="AE356">
        <v>50</v>
      </c>
      <c r="AH356" t="s">
        <v>98</v>
      </c>
    </row>
    <row r="357" spans="1:34" x14ac:dyDescent="0.25">
      <c r="A357">
        <v>356</v>
      </c>
      <c r="B357" s="5">
        <v>244575842</v>
      </c>
      <c r="C357" s="5">
        <v>60398433788</v>
      </c>
      <c r="D357">
        <v>5970</v>
      </c>
      <c r="E357" s="1" t="s">
        <v>1688</v>
      </c>
      <c r="F357" t="s">
        <v>1121</v>
      </c>
      <c r="G357" t="s">
        <v>1122</v>
      </c>
      <c r="H357">
        <v>25601</v>
      </c>
      <c r="I357">
        <v>20880239</v>
      </c>
      <c r="L357" s="2">
        <v>33798</v>
      </c>
      <c r="M357" s="3">
        <f t="shared" si="5"/>
        <v>1992</v>
      </c>
      <c r="N357" s="2">
        <v>34917</v>
      </c>
      <c r="O357">
        <v>250</v>
      </c>
      <c r="P357" s="6">
        <v>3854</v>
      </c>
      <c r="Q357">
        <v>1927</v>
      </c>
      <c r="R357">
        <v>770.80000000000007</v>
      </c>
      <c r="S357">
        <v>198</v>
      </c>
      <c r="T357" s="6">
        <v>840</v>
      </c>
      <c r="U357" t="s">
        <v>82</v>
      </c>
      <c r="V357" t="s">
        <v>1677</v>
      </c>
      <c r="W357" t="s">
        <v>1685</v>
      </c>
      <c r="X357" t="s">
        <v>1675</v>
      </c>
      <c r="Y357" t="s">
        <v>1679</v>
      </c>
      <c r="Z357" t="s">
        <v>1680</v>
      </c>
      <c r="AA357" t="s">
        <v>1123</v>
      </c>
      <c r="AB357">
        <v>73</v>
      </c>
      <c r="AC357">
        <v>31</v>
      </c>
      <c r="AE357">
        <v>21</v>
      </c>
      <c r="AH357" t="s">
        <v>57</v>
      </c>
    </row>
    <row r="358" spans="1:34" x14ac:dyDescent="0.25">
      <c r="A358">
        <v>357</v>
      </c>
      <c r="B358" s="5">
        <v>715451906</v>
      </c>
      <c r="C358" s="5">
        <v>34330260139</v>
      </c>
      <c r="D358">
        <v>1306</v>
      </c>
      <c r="E358" s="1" t="s">
        <v>1688</v>
      </c>
      <c r="F358" t="s">
        <v>1124</v>
      </c>
      <c r="G358" t="s">
        <v>1125</v>
      </c>
      <c r="H358">
        <v>29418</v>
      </c>
      <c r="I358">
        <v>27561481</v>
      </c>
      <c r="L358" s="2">
        <v>39118</v>
      </c>
      <c r="M358" s="3">
        <f t="shared" si="5"/>
        <v>2007</v>
      </c>
      <c r="N358" s="2" t="s">
        <v>28</v>
      </c>
      <c r="O358">
        <v>184</v>
      </c>
      <c r="P358" s="6">
        <v>14768</v>
      </c>
      <c r="Q358">
        <v>7384</v>
      </c>
      <c r="R358">
        <v>2953.6000000000004</v>
      </c>
      <c r="S358">
        <v>242</v>
      </c>
      <c r="T358" s="6">
        <v>618.24</v>
      </c>
      <c r="U358" t="s">
        <v>110</v>
      </c>
      <c r="V358" t="s">
        <v>1680</v>
      </c>
      <c r="W358" t="s">
        <v>1687</v>
      </c>
      <c r="X358" t="s">
        <v>1675</v>
      </c>
      <c r="Y358" t="s">
        <v>61</v>
      </c>
      <c r="Z358" t="s">
        <v>1676</v>
      </c>
      <c r="AA358" t="s">
        <v>1126</v>
      </c>
      <c r="AB358">
        <v>109</v>
      </c>
      <c r="AC358">
        <v>50</v>
      </c>
      <c r="AE358">
        <v>22</v>
      </c>
      <c r="AH358" t="s">
        <v>98</v>
      </c>
    </row>
    <row r="359" spans="1:34" x14ac:dyDescent="0.25">
      <c r="A359">
        <v>358</v>
      </c>
      <c r="B359" s="5">
        <v>943474202</v>
      </c>
      <c r="C359" s="5">
        <v>76625425388</v>
      </c>
      <c r="D359">
        <v>6148</v>
      </c>
      <c r="E359" s="1" t="s">
        <v>1688</v>
      </c>
      <c r="F359" t="s">
        <v>1127</v>
      </c>
      <c r="G359" t="s">
        <v>1128</v>
      </c>
      <c r="H359">
        <v>26415</v>
      </c>
      <c r="I359">
        <v>24061215</v>
      </c>
      <c r="L359" s="2">
        <v>35499</v>
      </c>
      <c r="M359" s="3">
        <f t="shared" si="5"/>
        <v>1997</v>
      </c>
      <c r="N359" s="2" t="s">
        <v>28</v>
      </c>
      <c r="O359">
        <v>239</v>
      </c>
      <c r="P359" s="6">
        <v>19493</v>
      </c>
      <c r="Q359">
        <v>9746.5</v>
      </c>
      <c r="R359">
        <v>3898.6000000000004</v>
      </c>
      <c r="S359">
        <v>198</v>
      </c>
      <c r="T359" s="6">
        <v>803.04</v>
      </c>
      <c r="U359" t="s">
        <v>68</v>
      </c>
      <c r="V359" t="s">
        <v>1686</v>
      </c>
      <c r="W359" t="s">
        <v>1681</v>
      </c>
      <c r="X359" t="s">
        <v>1683</v>
      </c>
      <c r="Y359" t="s">
        <v>1679</v>
      </c>
      <c r="Z359" t="s">
        <v>1684</v>
      </c>
      <c r="AA359" t="s">
        <v>1129</v>
      </c>
      <c r="AB359">
        <v>121</v>
      </c>
      <c r="AC359">
        <v>10</v>
      </c>
      <c r="AE359">
        <v>120</v>
      </c>
      <c r="AH359" t="s">
        <v>41</v>
      </c>
    </row>
    <row r="360" spans="1:34" x14ac:dyDescent="0.25">
      <c r="A360">
        <v>359</v>
      </c>
      <c r="B360" s="5">
        <v>839007685</v>
      </c>
      <c r="C360" s="3">
        <v>8806685331</v>
      </c>
      <c r="D360">
        <v>2173</v>
      </c>
      <c r="E360" s="1" t="s">
        <v>1688</v>
      </c>
      <c r="F360" t="s">
        <v>1130</v>
      </c>
      <c r="G360" t="s">
        <v>1131</v>
      </c>
      <c r="H360">
        <v>26974</v>
      </c>
      <c r="I360">
        <v>36777265</v>
      </c>
      <c r="L360" s="2">
        <v>35943</v>
      </c>
      <c r="M360" s="3">
        <f t="shared" si="5"/>
        <v>1998</v>
      </c>
      <c r="N360" s="2" t="s">
        <v>28</v>
      </c>
      <c r="O360">
        <v>189</v>
      </c>
      <c r="P360" s="6">
        <v>5279</v>
      </c>
      <c r="Q360">
        <v>2639.5</v>
      </c>
      <c r="R360">
        <v>1055.8</v>
      </c>
      <c r="S360">
        <v>220</v>
      </c>
      <c r="T360" s="6">
        <v>635.04</v>
      </c>
      <c r="U360" t="s">
        <v>172</v>
      </c>
      <c r="V360" t="s">
        <v>1686</v>
      </c>
      <c r="W360" t="s">
        <v>1674</v>
      </c>
      <c r="X360" t="s">
        <v>1683</v>
      </c>
      <c r="Y360" t="s">
        <v>1679</v>
      </c>
      <c r="Z360" t="s">
        <v>1684</v>
      </c>
      <c r="AA360" t="s">
        <v>1132</v>
      </c>
      <c r="AB360">
        <v>117</v>
      </c>
      <c r="AC360">
        <v>33</v>
      </c>
      <c r="AE360">
        <v>64</v>
      </c>
      <c r="AH360" t="s">
        <v>31</v>
      </c>
    </row>
    <row r="361" spans="1:34" x14ac:dyDescent="0.25">
      <c r="A361">
        <v>360</v>
      </c>
      <c r="B361" s="5">
        <v>209099797</v>
      </c>
      <c r="C361" s="5">
        <v>17816130451</v>
      </c>
      <c r="D361">
        <v>4847</v>
      </c>
      <c r="E361" s="1" t="s">
        <v>1688</v>
      </c>
      <c r="F361" t="s">
        <v>1133</v>
      </c>
      <c r="G361" t="s">
        <v>1134</v>
      </c>
      <c r="H361">
        <v>36494</v>
      </c>
      <c r="I361">
        <v>28751567</v>
      </c>
      <c r="L361" s="2">
        <v>43064</v>
      </c>
      <c r="M361" s="3">
        <f t="shared" si="5"/>
        <v>2017</v>
      </c>
      <c r="N361" s="2" t="s">
        <v>28</v>
      </c>
      <c r="O361">
        <v>191</v>
      </c>
      <c r="P361" s="6">
        <v>15036</v>
      </c>
      <c r="Q361">
        <v>7518</v>
      </c>
      <c r="R361">
        <v>3007.2000000000003</v>
      </c>
      <c r="S361">
        <v>154</v>
      </c>
      <c r="T361" s="6">
        <v>641.76</v>
      </c>
      <c r="U361" t="s">
        <v>82</v>
      </c>
      <c r="V361" t="s">
        <v>1677</v>
      </c>
      <c r="W361" t="s">
        <v>1685</v>
      </c>
      <c r="X361" t="s">
        <v>1675</v>
      </c>
      <c r="Y361" t="s">
        <v>1679</v>
      </c>
      <c r="Z361" t="s">
        <v>1680</v>
      </c>
      <c r="AA361" t="s">
        <v>1135</v>
      </c>
      <c r="AB361">
        <v>104</v>
      </c>
      <c r="AC361">
        <v>47</v>
      </c>
      <c r="AE361">
        <v>172</v>
      </c>
      <c r="AH361" t="s">
        <v>57</v>
      </c>
    </row>
    <row r="362" spans="1:34" x14ac:dyDescent="0.25">
      <c r="A362">
        <v>361</v>
      </c>
      <c r="B362" s="5">
        <v>953759176</v>
      </c>
      <c r="C362" s="5">
        <v>74006861056</v>
      </c>
      <c r="D362">
        <v>2613</v>
      </c>
      <c r="E362" s="1" t="s">
        <v>1689</v>
      </c>
      <c r="F362" t="s">
        <v>1136</v>
      </c>
      <c r="G362" t="s">
        <v>1137</v>
      </c>
      <c r="H362">
        <v>31566</v>
      </c>
      <c r="I362">
        <v>49914331</v>
      </c>
      <c r="L362" s="2">
        <v>41149</v>
      </c>
      <c r="M362" s="3">
        <f t="shared" si="5"/>
        <v>2012</v>
      </c>
      <c r="N362" s="2" t="s">
        <v>28</v>
      </c>
      <c r="O362">
        <v>221</v>
      </c>
      <c r="P362" s="6">
        <v>20822</v>
      </c>
      <c r="Q362">
        <v>10411</v>
      </c>
      <c r="R362">
        <v>4164.4000000000005</v>
      </c>
      <c r="S362">
        <v>220</v>
      </c>
      <c r="T362" s="6">
        <v>742.56</v>
      </c>
      <c r="U362" t="s">
        <v>29</v>
      </c>
      <c r="V362" t="s">
        <v>1673</v>
      </c>
      <c r="W362" t="s">
        <v>1674</v>
      </c>
      <c r="X362" t="s">
        <v>1675</v>
      </c>
      <c r="Y362" t="s">
        <v>61</v>
      </c>
      <c r="Z362" t="s">
        <v>1676</v>
      </c>
      <c r="AA362" t="s">
        <v>1138</v>
      </c>
      <c r="AB362">
        <v>98</v>
      </c>
      <c r="AC362">
        <v>47</v>
      </c>
      <c r="AE362">
        <v>81</v>
      </c>
      <c r="AH362" t="s">
        <v>31</v>
      </c>
    </row>
    <row r="363" spans="1:34" x14ac:dyDescent="0.25">
      <c r="A363">
        <v>362</v>
      </c>
      <c r="B363" s="5">
        <v>613806497</v>
      </c>
      <c r="C363" s="5">
        <v>52251361634</v>
      </c>
      <c r="D363">
        <v>3156</v>
      </c>
      <c r="E363" s="1" t="s">
        <v>1688</v>
      </c>
      <c r="F363" t="s">
        <v>1139</v>
      </c>
      <c r="G363" t="s">
        <v>1140</v>
      </c>
      <c r="H363">
        <v>31472</v>
      </c>
      <c r="I363">
        <v>46929762</v>
      </c>
      <c r="L363" s="2">
        <v>41772</v>
      </c>
      <c r="M363" s="3">
        <f t="shared" si="5"/>
        <v>2014</v>
      </c>
      <c r="N363" s="2" t="s">
        <v>28</v>
      </c>
      <c r="O363">
        <v>243</v>
      </c>
      <c r="P363" s="6">
        <v>1348</v>
      </c>
      <c r="Q363">
        <v>674</v>
      </c>
      <c r="R363">
        <v>269.60000000000002</v>
      </c>
      <c r="S363">
        <v>154</v>
      </c>
      <c r="T363" s="6">
        <v>816.48</v>
      </c>
      <c r="U363" t="s">
        <v>96</v>
      </c>
      <c r="V363" t="s">
        <v>1686</v>
      </c>
      <c r="W363" t="s">
        <v>1687</v>
      </c>
      <c r="X363" t="s">
        <v>1683</v>
      </c>
      <c r="Y363" t="s">
        <v>1679</v>
      </c>
      <c r="Z363" t="s">
        <v>1684</v>
      </c>
      <c r="AA363" t="s">
        <v>1141</v>
      </c>
      <c r="AB363">
        <v>118</v>
      </c>
      <c r="AC363">
        <v>54</v>
      </c>
      <c r="AE363">
        <v>29</v>
      </c>
      <c r="AH363" t="s">
        <v>98</v>
      </c>
    </row>
    <row r="364" spans="1:34" x14ac:dyDescent="0.25">
      <c r="A364">
        <v>363</v>
      </c>
      <c r="B364" s="5">
        <v>733350120</v>
      </c>
      <c r="C364" s="5">
        <v>86003667436</v>
      </c>
      <c r="D364">
        <v>6002</v>
      </c>
      <c r="E364" s="1" t="s">
        <v>1688</v>
      </c>
      <c r="F364" t="s">
        <v>1142</v>
      </c>
      <c r="G364" t="s">
        <v>1143</v>
      </c>
      <c r="H364">
        <v>29619</v>
      </c>
      <c r="I364">
        <v>30967138</v>
      </c>
      <c r="L364" s="2">
        <v>37102</v>
      </c>
      <c r="M364" s="3">
        <f t="shared" si="5"/>
        <v>2001</v>
      </c>
      <c r="N364" s="2" t="s">
        <v>28</v>
      </c>
      <c r="O364">
        <v>161</v>
      </c>
      <c r="P364" s="6">
        <v>3668</v>
      </c>
      <c r="Q364">
        <v>1834</v>
      </c>
      <c r="R364">
        <v>733.6</v>
      </c>
      <c r="S364">
        <v>264</v>
      </c>
      <c r="T364" s="6">
        <v>540.96</v>
      </c>
      <c r="U364" t="s">
        <v>157</v>
      </c>
      <c r="V364" t="s">
        <v>1682</v>
      </c>
      <c r="W364" t="s">
        <v>1687</v>
      </c>
      <c r="X364" t="s">
        <v>1683</v>
      </c>
      <c r="Y364" t="s">
        <v>1679</v>
      </c>
      <c r="Z364" t="s">
        <v>1684</v>
      </c>
      <c r="AA364" t="s">
        <v>1144</v>
      </c>
      <c r="AB364">
        <v>108</v>
      </c>
      <c r="AC364">
        <v>20</v>
      </c>
      <c r="AE364">
        <v>45</v>
      </c>
      <c r="AH364" t="s">
        <v>98</v>
      </c>
    </row>
    <row r="365" spans="1:34" x14ac:dyDescent="0.25">
      <c r="A365">
        <v>364</v>
      </c>
      <c r="B365" s="5">
        <v>647387441</v>
      </c>
      <c r="C365" s="5">
        <v>25239330238</v>
      </c>
      <c r="D365">
        <v>2804</v>
      </c>
      <c r="E365" s="1" t="s">
        <v>1688</v>
      </c>
      <c r="F365" t="s">
        <v>1145</v>
      </c>
      <c r="G365" t="s">
        <v>1146</v>
      </c>
      <c r="H365">
        <v>32254</v>
      </c>
      <c r="I365">
        <v>48541368</v>
      </c>
      <c r="L365" s="2">
        <v>38824</v>
      </c>
      <c r="M365" s="3">
        <f t="shared" si="5"/>
        <v>2006</v>
      </c>
      <c r="N365" s="2" t="s">
        <v>28</v>
      </c>
      <c r="O365">
        <v>231</v>
      </c>
      <c r="P365" s="6">
        <v>24021</v>
      </c>
      <c r="Q365">
        <v>12010.5</v>
      </c>
      <c r="R365">
        <v>4804.2</v>
      </c>
      <c r="S365">
        <v>308</v>
      </c>
      <c r="T365" s="6">
        <v>776.16</v>
      </c>
      <c r="U365" t="s">
        <v>110</v>
      </c>
      <c r="V365" t="s">
        <v>1680</v>
      </c>
      <c r="W365" t="s">
        <v>1687</v>
      </c>
      <c r="X365" t="s">
        <v>1675</v>
      </c>
      <c r="Y365" t="s">
        <v>61</v>
      </c>
      <c r="Z365" t="s">
        <v>1676</v>
      </c>
      <c r="AA365" t="s">
        <v>1147</v>
      </c>
      <c r="AB365">
        <v>97</v>
      </c>
      <c r="AC365">
        <v>19</v>
      </c>
      <c r="AE365">
        <v>186</v>
      </c>
      <c r="AH365" t="s">
        <v>98</v>
      </c>
    </row>
    <row r="366" spans="1:34" x14ac:dyDescent="0.25">
      <c r="A366">
        <v>365</v>
      </c>
      <c r="B366" s="5">
        <v>143799569</v>
      </c>
      <c r="C366" s="5">
        <v>19340500862</v>
      </c>
      <c r="D366">
        <v>3756</v>
      </c>
      <c r="E366" s="1" t="s">
        <v>1689</v>
      </c>
      <c r="F366" t="s">
        <v>1148</v>
      </c>
      <c r="G366" t="s">
        <v>1149</v>
      </c>
      <c r="H366">
        <v>35445</v>
      </c>
      <c r="I366">
        <v>41237328</v>
      </c>
      <c r="L366" s="2">
        <v>42778</v>
      </c>
      <c r="M366" s="3">
        <f t="shared" si="5"/>
        <v>2017</v>
      </c>
      <c r="N366" s="2">
        <v>43105</v>
      </c>
      <c r="O366">
        <v>196</v>
      </c>
      <c r="P366" s="6">
        <v>2435</v>
      </c>
      <c r="Q366">
        <v>1217.5</v>
      </c>
      <c r="R366">
        <v>487</v>
      </c>
      <c r="S366">
        <v>176</v>
      </c>
      <c r="T366" s="6">
        <v>658.56</v>
      </c>
      <c r="U366" t="s">
        <v>747</v>
      </c>
      <c r="V366" t="s">
        <v>1673</v>
      </c>
      <c r="W366" t="s">
        <v>1678</v>
      </c>
      <c r="X366" t="s">
        <v>1675</v>
      </c>
      <c r="Y366" t="s">
        <v>61</v>
      </c>
      <c r="Z366" t="s">
        <v>1676</v>
      </c>
      <c r="AA366" t="s">
        <v>1150</v>
      </c>
      <c r="AB366">
        <v>143</v>
      </c>
      <c r="AC366">
        <v>3</v>
      </c>
      <c r="AE366">
        <v>54</v>
      </c>
      <c r="AH366" t="s">
        <v>36</v>
      </c>
    </row>
    <row r="367" spans="1:34" x14ac:dyDescent="0.25">
      <c r="A367">
        <v>366</v>
      </c>
      <c r="B367" s="5">
        <v>311722917</v>
      </c>
      <c r="C367" s="3">
        <v>8104936146</v>
      </c>
      <c r="D367">
        <v>5104</v>
      </c>
      <c r="E367" s="1" t="s">
        <v>1688</v>
      </c>
      <c r="F367" t="s">
        <v>1151</v>
      </c>
      <c r="G367" t="s">
        <v>1152</v>
      </c>
      <c r="H367">
        <v>28411</v>
      </c>
      <c r="I367">
        <v>23063985</v>
      </c>
      <c r="L367" s="2">
        <v>38485</v>
      </c>
      <c r="M367" s="3">
        <f t="shared" si="5"/>
        <v>2005</v>
      </c>
      <c r="N367" s="2" t="s">
        <v>28</v>
      </c>
      <c r="O367">
        <v>209</v>
      </c>
      <c r="P367" s="6">
        <v>21301</v>
      </c>
      <c r="Q367">
        <v>10650.5</v>
      </c>
      <c r="R367">
        <v>4260.2</v>
      </c>
      <c r="S367">
        <v>176</v>
      </c>
      <c r="T367" s="6">
        <v>702.24</v>
      </c>
      <c r="U367" t="s">
        <v>44</v>
      </c>
      <c r="V367" t="s">
        <v>1682</v>
      </c>
      <c r="W367" t="s">
        <v>1681</v>
      </c>
      <c r="X367" t="s">
        <v>1683</v>
      </c>
      <c r="Y367" t="s">
        <v>1679</v>
      </c>
      <c r="Z367" t="s">
        <v>1684</v>
      </c>
      <c r="AA367" t="s">
        <v>1153</v>
      </c>
      <c r="AB367">
        <v>42</v>
      </c>
      <c r="AC367">
        <v>45</v>
      </c>
      <c r="AE367">
        <v>198</v>
      </c>
      <c r="AH367" t="s">
        <v>41</v>
      </c>
    </row>
    <row r="368" spans="1:34" x14ac:dyDescent="0.25">
      <c r="A368">
        <v>367</v>
      </c>
      <c r="B368" s="5">
        <v>950109542</v>
      </c>
      <c r="C368" s="5">
        <v>20364097643</v>
      </c>
      <c r="D368">
        <v>7689</v>
      </c>
      <c r="E368" s="1" t="s">
        <v>1689</v>
      </c>
      <c r="F368" t="s">
        <v>1154</v>
      </c>
      <c r="G368" t="s">
        <v>1155</v>
      </c>
      <c r="H368">
        <v>30929</v>
      </c>
      <c r="I368">
        <v>49400523</v>
      </c>
      <c r="L368" s="2">
        <v>37499</v>
      </c>
      <c r="M368" s="3">
        <f t="shared" si="5"/>
        <v>2002</v>
      </c>
      <c r="N368" s="2" t="s">
        <v>28</v>
      </c>
      <c r="O368">
        <v>179</v>
      </c>
      <c r="P368" s="6">
        <v>1146</v>
      </c>
      <c r="Q368">
        <v>573</v>
      </c>
      <c r="R368">
        <v>229.20000000000002</v>
      </c>
      <c r="S368">
        <v>264</v>
      </c>
      <c r="T368" s="6">
        <v>601.44000000000005</v>
      </c>
      <c r="U368" t="s">
        <v>168</v>
      </c>
      <c r="V368" t="s">
        <v>1677</v>
      </c>
      <c r="W368" t="s">
        <v>1687</v>
      </c>
      <c r="X368" t="s">
        <v>1675</v>
      </c>
      <c r="Y368" t="s">
        <v>1679</v>
      </c>
      <c r="Z368" t="s">
        <v>1680</v>
      </c>
      <c r="AA368" t="s">
        <v>1156</v>
      </c>
      <c r="AB368">
        <v>142</v>
      </c>
      <c r="AC368">
        <v>34</v>
      </c>
      <c r="AE368">
        <v>185</v>
      </c>
      <c r="AH368" t="s">
        <v>98</v>
      </c>
    </row>
    <row r="369" spans="1:34" x14ac:dyDescent="0.25">
      <c r="A369">
        <v>368</v>
      </c>
      <c r="B369" s="5">
        <v>103627432</v>
      </c>
      <c r="C369" s="5">
        <v>29759394846</v>
      </c>
      <c r="D369">
        <v>4399</v>
      </c>
      <c r="E369" s="1" t="s">
        <v>1689</v>
      </c>
      <c r="F369" t="s">
        <v>1157</v>
      </c>
      <c r="G369" t="s">
        <v>1158</v>
      </c>
      <c r="H369">
        <v>30615</v>
      </c>
      <c r="I369">
        <v>24979210</v>
      </c>
      <c r="L369" s="2">
        <v>38176</v>
      </c>
      <c r="M369" s="3">
        <f t="shared" si="5"/>
        <v>2004</v>
      </c>
      <c r="N369" s="2" t="s">
        <v>28</v>
      </c>
      <c r="O369">
        <v>205</v>
      </c>
      <c r="P369" s="6">
        <v>12971</v>
      </c>
      <c r="Q369">
        <v>6485.5</v>
      </c>
      <c r="R369">
        <v>2594.2000000000003</v>
      </c>
      <c r="S369">
        <v>198</v>
      </c>
      <c r="T369" s="6">
        <v>688.80000000000007</v>
      </c>
      <c r="U369" t="s">
        <v>150</v>
      </c>
      <c r="V369" t="s">
        <v>1680</v>
      </c>
      <c r="W369" t="s">
        <v>1674</v>
      </c>
      <c r="X369" t="s">
        <v>1675</v>
      </c>
      <c r="Y369" t="s">
        <v>61</v>
      </c>
      <c r="Z369" t="s">
        <v>1684</v>
      </c>
      <c r="AA369" t="s">
        <v>1159</v>
      </c>
      <c r="AB369">
        <v>115</v>
      </c>
      <c r="AC369">
        <v>21</v>
      </c>
      <c r="AE369">
        <v>73</v>
      </c>
      <c r="AH369" t="s">
        <v>31</v>
      </c>
    </row>
    <row r="370" spans="1:34" x14ac:dyDescent="0.25">
      <c r="A370">
        <v>369</v>
      </c>
      <c r="B370" s="5">
        <v>972274207</v>
      </c>
      <c r="C370" s="5">
        <v>17016568221</v>
      </c>
      <c r="D370">
        <v>2043</v>
      </c>
      <c r="E370" s="1" t="s">
        <v>1688</v>
      </c>
      <c r="F370" t="s">
        <v>1160</v>
      </c>
      <c r="G370" t="s">
        <v>1161</v>
      </c>
      <c r="H370">
        <v>35515</v>
      </c>
      <c r="I370">
        <v>45634061</v>
      </c>
      <c r="L370" s="2">
        <v>42085</v>
      </c>
      <c r="M370" s="3">
        <f t="shared" si="5"/>
        <v>2015</v>
      </c>
      <c r="N370" s="2" t="s">
        <v>28</v>
      </c>
      <c r="O370">
        <v>229</v>
      </c>
      <c r="P370" s="6">
        <v>17572</v>
      </c>
      <c r="Q370">
        <v>8786</v>
      </c>
      <c r="R370">
        <v>3514.4</v>
      </c>
      <c r="S370">
        <v>220</v>
      </c>
      <c r="T370" s="6">
        <v>769.44</v>
      </c>
      <c r="U370" t="s">
        <v>39</v>
      </c>
      <c r="V370" t="s">
        <v>1677</v>
      </c>
      <c r="W370" t="s">
        <v>1681</v>
      </c>
      <c r="X370" t="s">
        <v>1675</v>
      </c>
      <c r="Y370" t="s">
        <v>1679</v>
      </c>
      <c r="Z370" t="s">
        <v>1680</v>
      </c>
      <c r="AA370" t="s">
        <v>1162</v>
      </c>
      <c r="AB370">
        <v>148</v>
      </c>
      <c r="AC370">
        <v>35</v>
      </c>
      <c r="AE370">
        <v>11</v>
      </c>
      <c r="AH370" t="s">
        <v>41</v>
      </c>
    </row>
    <row r="371" spans="1:34" x14ac:dyDescent="0.25">
      <c r="A371">
        <v>370</v>
      </c>
      <c r="B371" s="5">
        <v>527343101</v>
      </c>
      <c r="C371" s="5">
        <v>94009246544</v>
      </c>
      <c r="D371">
        <v>7975</v>
      </c>
      <c r="E371" s="1" t="s">
        <v>1689</v>
      </c>
      <c r="F371" t="s">
        <v>1163</v>
      </c>
      <c r="G371" t="s">
        <v>1164</v>
      </c>
      <c r="H371">
        <v>36233</v>
      </c>
      <c r="I371">
        <v>36183737</v>
      </c>
      <c r="L371" s="2">
        <v>42803</v>
      </c>
      <c r="M371" s="3">
        <f t="shared" si="5"/>
        <v>2017</v>
      </c>
      <c r="N371" s="2">
        <v>43105</v>
      </c>
      <c r="O371">
        <v>201</v>
      </c>
      <c r="P371" s="6">
        <v>8339</v>
      </c>
      <c r="Q371">
        <v>4169.5</v>
      </c>
      <c r="R371">
        <v>1667.8000000000002</v>
      </c>
      <c r="S371">
        <v>154</v>
      </c>
      <c r="T371" s="6">
        <v>675.36</v>
      </c>
      <c r="U371" t="s">
        <v>127</v>
      </c>
      <c r="V371" t="s">
        <v>1686</v>
      </c>
      <c r="W371" t="s">
        <v>1685</v>
      </c>
      <c r="X371" t="s">
        <v>1683</v>
      </c>
      <c r="Y371" t="s">
        <v>1679</v>
      </c>
      <c r="Z371" t="s">
        <v>1684</v>
      </c>
      <c r="AA371" t="s">
        <v>1165</v>
      </c>
      <c r="AB371">
        <v>140</v>
      </c>
      <c r="AC371">
        <v>26</v>
      </c>
      <c r="AE371">
        <v>103</v>
      </c>
      <c r="AH371" t="s">
        <v>57</v>
      </c>
    </row>
    <row r="372" spans="1:34" x14ac:dyDescent="0.25">
      <c r="A372">
        <v>371</v>
      </c>
      <c r="B372" s="5">
        <v>794337813</v>
      </c>
      <c r="C372" s="5">
        <v>99576688833</v>
      </c>
      <c r="D372">
        <v>7186</v>
      </c>
      <c r="E372" s="1" t="s">
        <v>1688</v>
      </c>
      <c r="F372" t="s">
        <v>1166</v>
      </c>
      <c r="G372" t="s">
        <v>1167</v>
      </c>
      <c r="H372">
        <v>35630</v>
      </c>
      <c r="I372">
        <v>34337658</v>
      </c>
      <c r="L372" s="2">
        <v>42768</v>
      </c>
      <c r="M372" s="3">
        <f t="shared" si="5"/>
        <v>2017</v>
      </c>
      <c r="N372" s="2" t="s">
        <v>28</v>
      </c>
      <c r="O372">
        <v>198</v>
      </c>
      <c r="P372" s="6">
        <v>3058</v>
      </c>
      <c r="Q372">
        <v>1529</v>
      </c>
      <c r="R372">
        <v>611.6</v>
      </c>
      <c r="S372">
        <v>154</v>
      </c>
      <c r="T372" s="6">
        <v>665.28000000000009</v>
      </c>
      <c r="U372" t="s">
        <v>446</v>
      </c>
      <c r="V372" t="s">
        <v>1680</v>
      </c>
      <c r="W372" t="s">
        <v>1685</v>
      </c>
      <c r="X372" t="s">
        <v>1675</v>
      </c>
      <c r="Y372" t="s">
        <v>61</v>
      </c>
      <c r="Z372" t="s">
        <v>1676</v>
      </c>
      <c r="AA372" t="s">
        <v>1168</v>
      </c>
      <c r="AB372">
        <v>79</v>
      </c>
      <c r="AC372">
        <v>54</v>
      </c>
      <c r="AE372">
        <v>15</v>
      </c>
      <c r="AH372" t="s">
        <v>57</v>
      </c>
    </row>
    <row r="373" spans="1:34" x14ac:dyDescent="0.25">
      <c r="A373">
        <v>372</v>
      </c>
      <c r="B373" s="5">
        <v>505643417</v>
      </c>
      <c r="C373" s="5">
        <v>94852477623</v>
      </c>
      <c r="D373">
        <v>3738</v>
      </c>
      <c r="E373" s="1" t="s">
        <v>1689</v>
      </c>
      <c r="F373" t="s">
        <v>1169</v>
      </c>
      <c r="G373" t="s">
        <v>1170</v>
      </c>
      <c r="H373">
        <v>29675</v>
      </c>
      <c r="I373">
        <v>45833260</v>
      </c>
      <c r="L373" s="2">
        <v>38607</v>
      </c>
      <c r="M373" s="3">
        <f t="shared" si="5"/>
        <v>2005</v>
      </c>
      <c r="N373" s="2">
        <v>40010</v>
      </c>
      <c r="O373">
        <v>191</v>
      </c>
      <c r="P373" s="6">
        <v>2475</v>
      </c>
      <c r="Q373">
        <v>1237.5</v>
      </c>
      <c r="R373">
        <v>495</v>
      </c>
      <c r="S373">
        <v>220</v>
      </c>
      <c r="T373" s="6">
        <v>641.76</v>
      </c>
      <c r="U373" t="s">
        <v>34</v>
      </c>
      <c r="V373" t="s">
        <v>1677</v>
      </c>
      <c r="W373" t="s">
        <v>1678</v>
      </c>
      <c r="X373" t="s">
        <v>1675</v>
      </c>
      <c r="Y373" t="s">
        <v>1679</v>
      </c>
      <c r="Z373" t="s">
        <v>1680</v>
      </c>
      <c r="AA373" t="s">
        <v>1171</v>
      </c>
      <c r="AB373">
        <v>117</v>
      </c>
      <c r="AC373">
        <v>39</v>
      </c>
      <c r="AE373">
        <v>114</v>
      </c>
      <c r="AH373" t="s">
        <v>36</v>
      </c>
    </row>
    <row r="374" spans="1:34" x14ac:dyDescent="0.25">
      <c r="A374">
        <v>373</v>
      </c>
      <c r="B374" s="5">
        <v>548307706</v>
      </c>
      <c r="C374" s="3">
        <v>8452286962</v>
      </c>
      <c r="D374">
        <v>2084</v>
      </c>
      <c r="E374" s="1" t="s">
        <v>1689</v>
      </c>
      <c r="F374" t="s">
        <v>1172</v>
      </c>
      <c r="G374" t="s">
        <v>1173</v>
      </c>
      <c r="H374">
        <v>25792</v>
      </c>
      <c r="I374">
        <v>47944593</v>
      </c>
      <c r="L374" s="2">
        <v>39570</v>
      </c>
      <c r="M374" s="3">
        <f t="shared" si="5"/>
        <v>2008</v>
      </c>
      <c r="N374" s="2" t="s">
        <v>28</v>
      </c>
      <c r="O374">
        <v>226</v>
      </c>
      <c r="P374" s="6">
        <v>16122</v>
      </c>
      <c r="Q374">
        <v>8061</v>
      </c>
      <c r="R374">
        <v>3224.4</v>
      </c>
      <c r="S374">
        <v>286</v>
      </c>
      <c r="T374" s="6">
        <v>759.36</v>
      </c>
      <c r="U374" t="s">
        <v>44</v>
      </c>
      <c r="V374" t="s">
        <v>1682</v>
      </c>
      <c r="W374" t="s">
        <v>1681</v>
      </c>
      <c r="X374" t="s">
        <v>1683</v>
      </c>
      <c r="Y374" t="s">
        <v>1679</v>
      </c>
      <c r="Z374" t="s">
        <v>1684</v>
      </c>
      <c r="AA374" t="s">
        <v>1174</v>
      </c>
      <c r="AB374">
        <v>20</v>
      </c>
      <c r="AC374">
        <v>36</v>
      </c>
      <c r="AE374">
        <v>87</v>
      </c>
      <c r="AH374" t="s">
        <v>41</v>
      </c>
    </row>
    <row r="375" spans="1:34" x14ac:dyDescent="0.25">
      <c r="A375">
        <v>374</v>
      </c>
      <c r="B375" s="5">
        <v>733455815</v>
      </c>
      <c r="C375" s="5">
        <v>45264226946</v>
      </c>
      <c r="D375">
        <v>5921</v>
      </c>
      <c r="E375" s="1" t="s">
        <v>1689</v>
      </c>
      <c r="F375" t="s">
        <v>1175</v>
      </c>
      <c r="G375" t="s">
        <v>1176</v>
      </c>
      <c r="H375">
        <v>34887</v>
      </c>
      <c r="I375">
        <v>27469973</v>
      </c>
      <c r="L375" s="2">
        <v>41928</v>
      </c>
      <c r="M375" s="3">
        <f t="shared" si="5"/>
        <v>2014</v>
      </c>
      <c r="N375" s="2" t="s">
        <v>28</v>
      </c>
      <c r="O375">
        <v>222</v>
      </c>
      <c r="P375" s="6">
        <v>17297</v>
      </c>
      <c r="Q375">
        <v>8648.5</v>
      </c>
      <c r="R375">
        <v>3459.4</v>
      </c>
      <c r="S375">
        <v>264</v>
      </c>
      <c r="T375" s="6">
        <v>745.92000000000007</v>
      </c>
      <c r="U375" t="s">
        <v>172</v>
      </c>
      <c r="V375" t="s">
        <v>1686</v>
      </c>
      <c r="W375" t="s">
        <v>1674</v>
      </c>
      <c r="X375" t="s">
        <v>1683</v>
      </c>
      <c r="Y375" t="s">
        <v>1679</v>
      </c>
      <c r="Z375" t="s">
        <v>1684</v>
      </c>
      <c r="AA375" t="s">
        <v>1177</v>
      </c>
      <c r="AB375">
        <v>136</v>
      </c>
      <c r="AC375">
        <v>38</v>
      </c>
      <c r="AE375">
        <v>153</v>
      </c>
      <c r="AH375" t="s">
        <v>31</v>
      </c>
    </row>
    <row r="376" spans="1:34" x14ac:dyDescent="0.25">
      <c r="A376">
        <v>375</v>
      </c>
      <c r="B376" s="5">
        <v>449984546</v>
      </c>
      <c r="C376" s="5">
        <v>23855924850</v>
      </c>
      <c r="D376">
        <v>3828</v>
      </c>
      <c r="E376" s="1" t="s">
        <v>1688</v>
      </c>
      <c r="F376" t="s">
        <v>1178</v>
      </c>
      <c r="G376" t="s">
        <v>1179</v>
      </c>
      <c r="H376">
        <v>29583</v>
      </c>
      <c r="I376">
        <v>49408388</v>
      </c>
      <c r="L376" s="2">
        <v>36447</v>
      </c>
      <c r="M376" s="3">
        <f t="shared" si="5"/>
        <v>1999</v>
      </c>
      <c r="N376" s="2" t="s">
        <v>28</v>
      </c>
      <c r="O376">
        <v>166</v>
      </c>
      <c r="P376" s="6">
        <v>13315</v>
      </c>
      <c r="Q376">
        <v>6657.5</v>
      </c>
      <c r="R376">
        <v>2663</v>
      </c>
      <c r="S376">
        <v>308</v>
      </c>
      <c r="T376" s="6">
        <v>557.76</v>
      </c>
      <c r="U376" t="s">
        <v>96</v>
      </c>
      <c r="V376" t="s">
        <v>1686</v>
      </c>
      <c r="W376" t="s">
        <v>1687</v>
      </c>
      <c r="X376" t="s">
        <v>1683</v>
      </c>
      <c r="Y376" t="s">
        <v>1679</v>
      </c>
      <c r="Z376" t="s">
        <v>1684</v>
      </c>
      <c r="AA376" t="s">
        <v>1180</v>
      </c>
      <c r="AB376">
        <v>72</v>
      </c>
      <c r="AC376">
        <v>59</v>
      </c>
      <c r="AE376">
        <v>48</v>
      </c>
      <c r="AH376" t="s">
        <v>98</v>
      </c>
    </row>
    <row r="377" spans="1:34" x14ac:dyDescent="0.25">
      <c r="A377">
        <v>376</v>
      </c>
      <c r="B377" s="5">
        <v>682215767</v>
      </c>
      <c r="C377" s="3">
        <v>1587233005</v>
      </c>
      <c r="D377">
        <v>5712</v>
      </c>
      <c r="E377" s="1" t="s">
        <v>1688</v>
      </c>
      <c r="F377" t="s">
        <v>1181</v>
      </c>
      <c r="G377" t="s">
        <v>1182</v>
      </c>
      <c r="H377">
        <v>32880</v>
      </c>
      <c r="I377">
        <v>26046380</v>
      </c>
      <c r="L377" s="2">
        <v>40039</v>
      </c>
      <c r="M377" s="3">
        <f t="shared" si="5"/>
        <v>2009</v>
      </c>
      <c r="N377" s="2" t="s">
        <v>28</v>
      </c>
      <c r="O377">
        <v>213</v>
      </c>
      <c r="P377" s="6">
        <v>20415</v>
      </c>
      <c r="Q377">
        <v>10207.5</v>
      </c>
      <c r="R377">
        <v>4083</v>
      </c>
      <c r="S377">
        <v>176</v>
      </c>
      <c r="T377" s="6">
        <v>715.68</v>
      </c>
      <c r="U377" t="s">
        <v>157</v>
      </c>
      <c r="V377" t="s">
        <v>1682</v>
      </c>
      <c r="W377" t="s">
        <v>1687</v>
      </c>
      <c r="X377" t="s">
        <v>1683</v>
      </c>
      <c r="Y377" t="s">
        <v>1679</v>
      </c>
      <c r="Z377" t="s">
        <v>1684</v>
      </c>
      <c r="AA377" t="s">
        <v>1183</v>
      </c>
      <c r="AB377">
        <v>52</v>
      </c>
      <c r="AC377">
        <v>41</v>
      </c>
      <c r="AE377">
        <v>161</v>
      </c>
      <c r="AH377" t="s">
        <v>98</v>
      </c>
    </row>
    <row r="378" spans="1:34" x14ac:dyDescent="0.25">
      <c r="A378">
        <v>377</v>
      </c>
      <c r="B378" s="5">
        <v>666696541</v>
      </c>
      <c r="C378" s="5">
        <v>72113353640</v>
      </c>
      <c r="D378">
        <v>2359</v>
      </c>
      <c r="E378" s="1" t="s">
        <v>1688</v>
      </c>
      <c r="F378" t="s">
        <v>1184</v>
      </c>
      <c r="G378" t="s">
        <v>1185</v>
      </c>
      <c r="H378">
        <v>30582</v>
      </c>
      <c r="I378">
        <v>26194926</v>
      </c>
      <c r="L378" s="2">
        <v>37152</v>
      </c>
      <c r="M378" s="3">
        <f t="shared" si="5"/>
        <v>2001</v>
      </c>
      <c r="N378" s="2" t="s">
        <v>28</v>
      </c>
      <c r="O378">
        <v>158</v>
      </c>
      <c r="P378" s="6">
        <v>1837</v>
      </c>
      <c r="Q378">
        <v>918.5</v>
      </c>
      <c r="R378">
        <v>367.40000000000003</v>
      </c>
      <c r="S378">
        <v>308</v>
      </c>
      <c r="T378" s="6">
        <v>530.88</v>
      </c>
      <c r="U378" t="s">
        <v>140</v>
      </c>
      <c r="V378" t="s">
        <v>1682</v>
      </c>
      <c r="W378" t="s">
        <v>1678</v>
      </c>
      <c r="X378" t="s">
        <v>1683</v>
      </c>
      <c r="Y378" t="s">
        <v>1679</v>
      </c>
      <c r="Z378" t="s">
        <v>1684</v>
      </c>
      <c r="AA378" t="s">
        <v>1186</v>
      </c>
      <c r="AB378">
        <v>137</v>
      </c>
      <c r="AC378">
        <v>54</v>
      </c>
      <c r="AE378">
        <v>190</v>
      </c>
      <c r="AH378" t="s">
        <v>36</v>
      </c>
    </row>
    <row r="379" spans="1:34" x14ac:dyDescent="0.25">
      <c r="A379">
        <v>378</v>
      </c>
      <c r="B379" s="5">
        <v>235395231</v>
      </c>
      <c r="C379" s="5">
        <v>21148484097</v>
      </c>
      <c r="D379">
        <v>4857</v>
      </c>
      <c r="E379" s="1" t="s">
        <v>1689</v>
      </c>
      <c r="F379" t="s">
        <v>1187</v>
      </c>
      <c r="G379" t="s">
        <v>1188</v>
      </c>
      <c r="H379">
        <v>31040</v>
      </c>
      <c r="I379">
        <v>36626997</v>
      </c>
      <c r="L379" s="2">
        <v>39232</v>
      </c>
      <c r="M379" s="3">
        <f t="shared" si="5"/>
        <v>2007</v>
      </c>
      <c r="N379" s="2">
        <v>41385</v>
      </c>
      <c r="O379">
        <v>178</v>
      </c>
      <c r="P379" s="6">
        <v>24792</v>
      </c>
      <c r="Q379">
        <v>12396</v>
      </c>
      <c r="R379">
        <v>4958.4000000000005</v>
      </c>
      <c r="S379">
        <v>308</v>
      </c>
      <c r="T379" s="6">
        <v>598.07999999999993</v>
      </c>
      <c r="U379" t="s">
        <v>44</v>
      </c>
      <c r="V379" t="s">
        <v>1682</v>
      </c>
      <c r="W379" t="s">
        <v>1681</v>
      </c>
      <c r="X379" t="s">
        <v>1683</v>
      </c>
      <c r="Y379" t="s">
        <v>1679</v>
      </c>
      <c r="Z379" t="s">
        <v>1684</v>
      </c>
      <c r="AA379" t="s">
        <v>1189</v>
      </c>
      <c r="AB379">
        <v>107</v>
      </c>
      <c r="AC379">
        <v>38</v>
      </c>
      <c r="AE379">
        <v>137</v>
      </c>
      <c r="AH379" t="s">
        <v>41</v>
      </c>
    </row>
    <row r="380" spans="1:34" x14ac:dyDescent="0.25">
      <c r="A380">
        <v>379</v>
      </c>
      <c r="B380" s="5">
        <v>379591878</v>
      </c>
      <c r="C380" s="5">
        <v>46508502855</v>
      </c>
      <c r="D380">
        <v>1538</v>
      </c>
      <c r="E380" s="1" t="s">
        <v>1689</v>
      </c>
      <c r="F380" t="s">
        <v>1190</v>
      </c>
      <c r="G380" t="s">
        <v>1191</v>
      </c>
      <c r="H380">
        <v>26507</v>
      </c>
      <c r="I380">
        <v>38302922</v>
      </c>
      <c r="L380" s="2">
        <v>34232</v>
      </c>
      <c r="M380" s="3">
        <f t="shared" si="5"/>
        <v>1993</v>
      </c>
      <c r="N380" s="2" t="s">
        <v>28</v>
      </c>
      <c r="O380">
        <v>229</v>
      </c>
      <c r="P380" s="6">
        <v>19346</v>
      </c>
      <c r="Q380">
        <v>9673</v>
      </c>
      <c r="R380">
        <v>3869.2000000000003</v>
      </c>
      <c r="S380">
        <v>220</v>
      </c>
      <c r="T380" s="6">
        <v>769.44</v>
      </c>
      <c r="U380" t="s">
        <v>82</v>
      </c>
      <c r="V380" t="s">
        <v>1677</v>
      </c>
      <c r="W380" t="s">
        <v>1685</v>
      </c>
      <c r="X380" t="s">
        <v>1675</v>
      </c>
      <c r="Y380" t="s">
        <v>1679</v>
      </c>
      <c r="Z380" t="s">
        <v>1680</v>
      </c>
      <c r="AA380" t="s">
        <v>1192</v>
      </c>
      <c r="AB380">
        <v>30</v>
      </c>
      <c r="AC380">
        <v>40</v>
      </c>
      <c r="AE380">
        <v>37</v>
      </c>
      <c r="AH380" t="s">
        <v>57</v>
      </c>
    </row>
    <row r="381" spans="1:34" x14ac:dyDescent="0.25">
      <c r="A381">
        <v>380</v>
      </c>
      <c r="B381" s="5">
        <v>252064734</v>
      </c>
      <c r="C381" s="5">
        <v>85654530441</v>
      </c>
      <c r="D381">
        <v>6486</v>
      </c>
      <c r="E381" s="1" t="s">
        <v>1689</v>
      </c>
      <c r="F381" t="s">
        <v>1193</v>
      </c>
      <c r="G381" t="s">
        <v>1194</v>
      </c>
      <c r="H381">
        <v>32642</v>
      </c>
      <c r="I381">
        <v>31496286</v>
      </c>
      <c r="L381" s="2">
        <v>42445</v>
      </c>
      <c r="M381" s="3">
        <f t="shared" si="5"/>
        <v>2016</v>
      </c>
      <c r="N381" s="2">
        <v>42930</v>
      </c>
      <c r="O381">
        <v>235</v>
      </c>
      <c r="P381" s="6">
        <v>24345</v>
      </c>
      <c r="Q381">
        <v>12172.5</v>
      </c>
      <c r="R381">
        <v>4869</v>
      </c>
      <c r="S381">
        <v>198</v>
      </c>
      <c r="T381" s="6">
        <v>789.6</v>
      </c>
      <c r="U381" t="s">
        <v>55</v>
      </c>
      <c r="V381" t="s">
        <v>1673</v>
      </c>
      <c r="W381" t="s">
        <v>1685</v>
      </c>
      <c r="X381" t="s">
        <v>1675</v>
      </c>
      <c r="Y381" t="s">
        <v>61</v>
      </c>
      <c r="Z381" t="s">
        <v>1676</v>
      </c>
      <c r="AA381" t="s">
        <v>1195</v>
      </c>
      <c r="AB381">
        <v>124</v>
      </c>
      <c r="AC381">
        <v>21</v>
      </c>
      <c r="AE381">
        <v>168</v>
      </c>
      <c r="AH381" t="s">
        <v>57</v>
      </c>
    </row>
    <row r="382" spans="1:34" x14ac:dyDescent="0.25">
      <c r="A382">
        <v>381</v>
      </c>
      <c r="B382" s="5">
        <v>202202068</v>
      </c>
      <c r="C382" s="5">
        <v>78925652236</v>
      </c>
      <c r="D382">
        <v>6754</v>
      </c>
      <c r="E382" s="1" t="s">
        <v>1688</v>
      </c>
      <c r="F382" t="s">
        <v>1196</v>
      </c>
      <c r="G382" t="s">
        <v>1197</v>
      </c>
      <c r="H382">
        <v>34059</v>
      </c>
      <c r="I382">
        <v>34588621</v>
      </c>
      <c r="L382" s="2">
        <v>40629</v>
      </c>
      <c r="M382" s="3">
        <f t="shared" si="5"/>
        <v>2011</v>
      </c>
      <c r="N382" s="2" t="s">
        <v>28</v>
      </c>
      <c r="O382">
        <v>227</v>
      </c>
      <c r="P382" s="6">
        <v>20199</v>
      </c>
      <c r="Q382">
        <v>10099.5</v>
      </c>
      <c r="R382">
        <v>4039.8</v>
      </c>
      <c r="S382">
        <v>264</v>
      </c>
      <c r="T382" s="6">
        <v>762.71999999999991</v>
      </c>
      <c r="U382" t="s">
        <v>172</v>
      </c>
      <c r="V382" t="s">
        <v>1686</v>
      </c>
      <c r="W382" t="s">
        <v>1674</v>
      </c>
      <c r="X382" t="s">
        <v>1683</v>
      </c>
      <c r="Y382" t="s">
        <v>1679</v>
      </c>
      <c r="Z382" t="s">
        <v>1684</v>
      </c>
      <c r="AA382" t="s">
        <v>1198</v>
      </c>
      <c r="AB382">
        <v>66</v>
      </c>
      <c r="AC382">
        <v>34</v>
      </c>
      <c r="AE382">
        <v>79</v>
      </c>
      <c r="AH382" t="s">
        <v>31</v>
      </c>
    </row>
    <row r="383" spans="1:34" x14ac:dyDescent="0.25">
      <c r="A383">
        <v>382</v>
      </c>
      <c r="B383" s="5">
        <v>286702047</v>
      </c>
      <c r="C383" s="5">
        <v>15192492005</v>
      </c>
      <c r="D383">
        <v>7608</v>
      </c>
      <c r="E383" s="1" t="s">
        <v>1689</v>
      </c>
      <c r="F383" t="s">
        <v>1199</v>
      </c>
      <c r="G383" t="s">
        <v>1200</v>
      </c>
      <c r="H383">
        <v>34749</v>
      </c>
      <c r="I383">
        <v>42421351</v>
      </c>
      <c r="L383" s="2">
        <v>41319</v>
      </c>
      <c r="M383" s="3">
        <f t="shared" si="5"/>
        <v>2013</v>
      </c>
      <c r="N383" s="2" t="s">
        <v>28</v>
      </c>
      <c r="O383">
        <v>248</v>
      </c>
      <c r="P383" s="6">
        <v>23259</v>
      </c>
      <c r="Q383">
        <v>11629.5</v>
      </c>
      <c r="R383">
        <v>4651.8</v>
      </c>
      <c r="S383">
        <v>308</v>
      </c>
      <c r="T383" s="6">
        <v>833.28000000000009</v>
      </c>
      <c r="U383" t="s">
        <v>446</v>
      </c>
      <c r="V383" t="s">
        <v>1680</v>
      </c>
      <c r="W383" t="s">
        <v>1685</v>
      </c>
      <c r="X383" t="s">
        <v>1675</v>
      </c>
      <c r="Y383" t="s">
        <v>61</v>
      </c>
      <c r="Z383" t="s">
        <v>1676</v>
      </c>
      <c r="AA383" t="s">
        <v>1201</v>
      </c>
      <c r="AB383">
        <v>133</v>
      </c>
      <c r="AC383">
        <v>23</v>
      </c>
      <c r="AE383">
        <v>32</v>
      </c>
      <c r="AH383" t="s">
        <v>57</v>
      </c>
    </row>
    <row r="384" spans="1:34" x14ac:dyDescent="0.25">
      <c r="A384">
        <v>383</v>
      </c>
      <c r="B384" s="5">
        <v>950393787</v>
      </c>
      <c r="C384" s="3">
        <v>7648511735</v>
      </c>
      <c r="D384">
        <v>1447</v>
      </c>
      <c r="E384" s="1" t="s">
        <v>1688</v>
      </c>
      <c r="F384" t="s">
        <v>1202</v>
      </c>
      <c r="G384" t="s">
        <v>1203</v>
      </c>
      <c r="H384">
        <v>33119</v>
      </c>
      <c r="I384">
        <v>32877709</v>
      </c>
      <c r="L384" s="2">
        <v>39689</v>
      </c>
      <c r="M384" s="3">
        <f t="shared" si="5"/>
        <v>2008</v>
      </c>
      <c r="N384" s="2" t="s">
        <v>28</v>
      </c>
      <c r="O384">
        <v>189</v>
      </c>
      <c r="P384" s="6">
        <v>6147</v>
      </c>
      <c r="Q384">
        <v>3073.5</v>
      </c>
      <c r="R384">
        <v>1229.4000000000001</v>
      </c>
      <c r="S384">
        <v>154</v>
      </c>
      <c r="T384" s="6">
        <v>635.04</v>
      </c>
      <c r="U384" t="s">
        <v>164</v>
      </c>
      <c r="V384" t="s">
        <v>1677</v>
      </c>
      <c r="W384" t="s">
        <v>1674</v>
      </c>
      <c r="X384" t="s">
        <v>1675</v>
      </c>
      <c r="Y384" t="s">
        <v>1679</v>
      </c>
      <c r="Z384" t="s">
        <v>1680</v>
      </c>
      <c r="AA384" t="s">
        <v>1204</v>
      </c>
      <c r="AB384">
        <v>51</v>
      </c>
      <c r="AC384">
        <v>54</v>
      </c>
      <c r="AE384">
        <v>173</v>
      </c>
      <c r="AH384" t="s">
        <v>31</v>
      </c>
    </row>
    <row r="385" spans="1:34" x14ac:dyDescent="0.25">
      <c r="A385">
        <v>384</v>
      </c>
      <c r="B385" s="5">
        <v>347182372</v>
      </c>
      <c r="C385" s="5">
        <v>79946485930</v>
      </c>
      <c r="D385">
        <v>3798</v>
      </c>
      <c r="E385" s="1" t="s">
        <v>1689</v>
      </c>
      <c r="F385" t="s">
        <v>1205</v>
      </c>
      <c r="G385" t="s">
        <v>1206</v>
      </c>
      <c r="H385">
        <v>28606</v>
      </c>
      <c r="I385">
        <v>29643981</v>
      </c>
      <c r="L385" s="2">
        <v>39640</v>
      </c>
      <c r="M385" s="3">
        <f t="shared" si="5"/>
        <v>2008</v>
      </c>
      <c r="N385" s="2">
        <v>40338</v>
      </c>
      <c r="O385">
        <v>166</v>
      </c>
      <c r="P385" s="6">
        <v>12531</v>
      </c>
      <c r="Q385">
        <v>6265.5</v>
      </c>
      <c r="R385">
        <v>2506.2000000000003</v>
      </c>
      <c r="S385">
        <v>264</v>
      </c>
      <c r="T385" s="6">
        <v>557.76</v>
      </c>
      <c r="U385" t="s">
        <v>39</v>
      </c>
      <c r="V385" t="s">
        <v>1677</v>
      </c>
      <c r="W385" t="s">
        <v>1681</v>
      </c>
      <c r="X385" t="s">
        <v>1675</v>
      </c>
      <c r="Y385" t="s">
        <v>1679</v>
      </c>
      <c r="Z385" t="s">
        <v>1680</v>
      </c>
      <c r="AA385" t="s">
        <v>1207</v>
      </c>
      <c r="AB385">
        <v>28</v>
      </c>
      <c r="AC385">
        <v>51</v>
      </c>
      <c r="AE385">
        <v>52</v>
      </c>
      <c r="AH385" t="s">
        <v>41</v>
      </c>
    </row>
    <row r="386" spans="1:34" x14ac:dyDescent="0.25">
      <c r="A386">
        <v>385</v>
      </c>
      <c r="B386" s="5">
        <v>612830578</v>
      </c>
      <c r="C386" s="3">
        <v>2820055451</v>
      </c>
      <c r="D386">
        <v>1137</v>
      </c>
      <c r="E386" s="1" t="s">
        <v>1689</v>
      </c>
      <c r="F386" t="s">
        <v>1208</v>
      </c>
      <c r="G386" t="s">
        <v>1209</v>
      </c>
      <c r="H386">
        <v>26818</v>
      </c>
      <c r="I386">
        <v>45345242</v>
      </c>
      <c r="L386" s="2">
        <v>39685</v>
      </c>
      <c r="M386" s="3">
        <f t="shared" si="5"/>
        <v>2008</v>
      </c>
      <c r="N386" s="2" t="s">
        <v>28</v>
      </c>
      <c r="O386">
        <v>228</v>
      </c>
      <c r="P386" s="6">
        <v>20944</v>
      </c>
      <c r="Q386">
        <v>10472</v>
      </c>
      <c r="R386">
        <v>4188.8</v>
      </c>
      <c r="S386">
        <v>308</v>
      </c>
      <c r="T386" s="6">
        <v>766.07999999999993</v>
      </c>
      <c r="U386" t="s">
        <v>168</v>
      </c>
      <c r="V386" t="s">
        <v>1677</v>
      </c>
      <c r="W386" t="s">
        <v>1687</v>
      </c>
      <c r="X386" t="s">
        <v>1675</v>
      </c>
      <c r="Y386" t="s">
        <v>1679</v>
      </c>
      <c r="Z386" t="s">
        <v>1680</v>
      </c>
      <c r="AA386" t="s">
        <v>1210</v>
      </c>
      <c r="AB386">
        <v>57</v>
      </c>
      <c r="AC386">
        <v>14</v>
      </c>
      <c r="AE386">
        <v>31</v>
      </c>
      <c r="AH386" t="s">
        <v>98</v>
      </c>
    </row>
    <row r="387" spans="1:34" x14ac:dyDescent="0.25">
      <c r="A387">
        <v>386</v>
      </c>
      <c r="B387" s="5">
        <v>791757848</v>
      </c>
      <c r="C387" s="5">
        <v>22500332809</v>
      </c>
      <c r="D387">
        <v>7299</v>
      </c>
      <c r="E387" s="1" t="s">
        <v>1689</v>
      </c>
      <c r="F387" t="s">
        <v>1211</v>
      </c>
      <c r="G387" t="s">
        <v>1212</v>
      </c>
      <c r="H387">
        <v>27312</v>
      </c>
      <c r="I387">
        <v>33457747</v>
      </c>
      <c r="L387" s="2">
        <v>36021</v>
      </c>
      <c r="M387" s="3">
        <f t="shared" ref="M387:M450" si="6">YEAR(L387)</f>
        <v>1998</v>
      </c>
      <c r="N387" s="2" t="s">
        <v>28</v>
      </c>
      <c r="O387">
        <v>231</v>
      </c>
      <c r="P387" s="6">
        <v>16889</v>
      </c>
      <c r="Q387">
        <v>8444.5</v>
      </c>
      <c r="R387">
        <v>3377.8</v>
      </c>
      <c r="S387">
        <v>220</v>
      </c>
      <c r="T387" s="6">
        <v>776.16</v>
      </c>
      <c r="U387" t="s">
        <v>164</v>
      </c>
      <c r="V387" t="s">
        <v>1677</v>
      </c>
      <c r="W387" t="s">
        <v>1674</v>
      </c>
      <c r="X387" t="s">
        <v>1675</v>
      </c>
      <c r="Y387" t="s">
        <v>1679</v>
      </c>
      <c r="Z387" t="s">
        <v>1680</v>
      </c>
      <c r="AA387" t="s">
        <v>1213</v>
      </c>
      <c r="AB387">
        <v>40</v>
      </c>
      <c r="AC387">
        <v>31</v>
      </c>
      <c r="AE387">
        <v>35</v>
      </c>
      <c r="AH387" t="s">
        <v>31</v>
      </c>
    </row>
    <row r="388" spans="1:34" x14ac:dyDescent="0.25">
      <c r="A388">
        <v>387</v>
      </c>
      <c r="B388" s="5">
        <v>566309079</v>
      </c>
      <c r="C388" s="5">
        <v>29445411838</v>
      </c>
      <c r="D388">
        <v>2650</v>
      </c>
      <c r="E388" s="1" t="s">
        <v>1688</v>
      </c>
      <c r="F388" t="s">
        <v>1214</v>
      </c>
      <c r="G388" t="s">
        <v>1215</v>
      </c>
      <c r="H388">
        <v>27251</v>
      </c>
      <c r="I388">
        <v>30581505</v>
      </c>
      <c r="L388" s="2">
        <v>37162</v>
      </c>
      <c r="M388" s="3">
        <f t="shared" si="6"/>
        <v>2001</v>
      </c>
      <c r="N388" s="2" t="s">
        <v>28</v>
      </c>
      <c r="O388">
        <v>221</v>
      </c>
      <c r="P388" s="6">
        <v>20899</v>
      </c>
      <c r="Q388">
        <v>10449.5</v>
      </c>
      <c r="R388">
        <v>4179.8</v>
      </c>
      <c r="S388">
        <v>176</v>
      </c>
      <c r="T388" s="6">
        <v>742.56</v>
      </c>
      <c r="U388" t="s">
        <v>92</v>
      </c>
      <c r="V388" t="s">
        <v>1686</v>
      </c>
      <c r="W388" t="s">
        <v>1678</v>
      </c>
      <c r="X388" t="s">
        <v>1683</v>
      </c>
      <c r="Y388" t="s">
        <v>1679</v>
      </c>
      <c r="Z388" t="s">
        <v>1684</v>
      </c>
      <c r="AA388" t="s">
        <v>1216</v>
      </c>
      <c r="AB388">
        <v>143</v>
      </c>
      <c r="AC388">
        <v>0</v>
      </c>
      <c r="AE388">
        <v>47</v>
      </c>
      <c r="AH388" t="s">
        <v>36</v>
      </c>
    </row>
    <row r="389" spans="1:34" x14ac:dyDescent="0.25">
      <c r="A389">
        <v>388</v>
      </c>
      <c r="B389" s="5">
        <v>417081592</v>
      </c>
      <c r="C389" s="5">
        <v>12870918871</v>
      </c>
      <c r="D389">
        <v>7463</v>
      </c>
      <c r="E389" s="1" t="s">
        <v>1689</v>
      </c>
      <c r="F389" t="s">
        <v>1217</v>
      </c>
      <c r="G389" t="s">
        <v>1218</v>
      </c>
      <c r="H389">
        <v>28241</v>
      </c>
      <c r="I389">
        <v>35359632</v>
      </c>
      <c r="L389" s="2">
        <v>37863</v>
      </c>
      <c r="M389" s="3">
        <f t="shared" si="6"/>
        <v>2003</v>
      </c>
      <c r="N389" s="2">
        <v>41202</v>
      </c>
      <c r="O389">
        <v>193</v>
      </c>
      <c r="P389" s="6">
        <v>16982</v>
      </c>
      <c r="Q389">
        <v>8491</v>
      </c>
      <c r="R389">
        <v>3396.4</v>
      </c>
      <c r="S389">
        <v>308</v>
      </c>
      <c r="T389" s="6">
        <v>648.48</v>
      </c>
      <c r="U389" t="s">
        <v>120</v>
      </c>
      <c r="V389" t="s">
        <v>1673</v>
      </c>
      <c r="W389" t="s">
        <v>1681</v>
      </c>
      <c r="X389" t="s">
        <v>1675</v>
      </c>
      <c r="Y389" t="s">
        <v>61</v>
      </c>
      <c r="Z389" t="s">
        <v>1676</v>
      </c>
      <c r="AA389" t="s">
        <v>1219</v>
      </c>
      <c r="AB389">
        <v>101</v>
      </c>
      <c r="AC389">
        <v>0</v>
      </c>
      <c r="AE389">
        <v>146</v>
      </c>
      <c r="AH389" t="s">
        <v>41</v>
      </c>
    </row>
    <row r="390" spans="1:34" x14ac:dyDescent="0.25">
      <c r="A390">
        <v>389</v>
      </c>
      <c r="B390" s="5">
        <v>886137812</v>
      </c>
      <c r="C390" s="5">
        <v>22987625364</v>
      </c>
      <c r="D390">
        <v>6596</v>
      </c>
      <c r="E390" s="1" t="s">
        <v>1689</v>
      </c>
      <c r="F390" t="s">
        <v>1220</v>
      </c>
      <c r="G390" t="s">
        <v>1221</v>
      </c>
      <c r="H390">
        <v>30784</v>
      </c>
      <c r="I390">
        <v>24510599</v>
      </c>
      <c r="L390" s="2">
        <v>38617</v>
      </c>
      <c r="M390" s="3">
        <f t="shared" si="6"/>
        <v>2005</v>
      </c>
      <c r="N390" s="2">
        <v>40046</v>
      </c>
      <c r="O390">
        <v>165</v>
      </c>
      <c r="P390" s="6">
        <v>22230</v>
      </c>
      <c r="Q390">
        <v>11115</v>
      </c>
      <c r="R390">
        <v>4446</v>
      </c>
      <c r="S390">
        <v>198</v>
      </c>
      <c r="T390" s="6">
        <v>554.4</v>
      </c>
      <c r="U390" t="s">
        <v>96</v>
      </c>
      <c r="V390" t="s">
        <v>1686</v>
      </c>
      <c r="W390" t="s">
        <v>1687</v>
      </c>
      <c r="X390" t="s">
        <v>1683</v>
      </c>
      <c r="Y390" t="s">
        <v>1679</v>
      </c>
      <c r="Z390" t="s">
        <v>1684</v>
      </c>
      <c r="AA390" t="s">
        <v>1222</v>
      </c>
      <c r="AB390">
        <v>140</v>
      </c>
      <c r="AC390">
        <v>20</v>
      </c>
      <c r="AE390">
        <v>123</v>
      </c>
      <c r="AH390" t="s">
        <v>98</v>
      </c>
    </row>
    <row r="391" spans="1:34" x14ac:dyDescent="0.25">
      <c r="A391">
        <v>390</v>
      </c>
      <c r="B391" s="5">
        <v>400093634</v>
      </c>
      <c r="C391" s="5">
        <v>25698199783</v>
      </c>
      <c r="D391">
        <v>5646</v>
      </c>
      <c r="E391" s="1" t="s">
        <v>1689</v>
      </c>
      <c r="F391" t="s">
        <v>1223</v>
      </c>
      <c r="G391" t="s">
        <v>1224</v>
      </c>
      <c r="H391">
        <v>32180</v>
      </c>
      <c r="I391">
        <v>25036496</v>
      </c>
      <c r="L391" s="2">
        <v>40174</v>
      </c>
      <c r="M391" s="3">
        <f t="shared" si="6"/>
        <v>2009</v>
      </c>
      <c r="N391" s="2" t="s">
        <v>28</v>
      </c>
      <c r="O391">
        <v>150</v>
      </c>
      <c r="P391" s="6">
        <v>5953</v>
      </c>
      <c r="Q391">
        <v>2976.5</v>
      </c>
      <c r="R391">
        <v>1190.6000000000001</v>
      </c>
      <c r="S391">
        <v>308</v>
      </c>
      <c r="T391" s="6">
        <v>504</v>
      </c>
      <c r="U391" t="s">
        <v>51</v>
      </c>
      <c r="V391" t="s">
        <v>1682</v>
      </c>
      <c r="W391" t="s">
        <v>1674</v>
      </c>
      <c r="X391" t="s">
        <v>1683</v>
      </c>
      <c r="Y391" t="s">
        <v>1679</v>
      </c>
      <c r="Z391" t="s">
        <v>1684</v>
      </c>
      <c r="AA391" t="s">
        <v>1225</v>
      </c>
      <c r="AB391">
        <v>139</v>
      </c>
      <c r="AC391">
        <v>50</v>
      </c>
      <c r="AE391">
        <v>92</v>
      </c>
      <c r="AH391" t="s">
        <v>31</v>
      </c>
    </row>
    <row r="392" spans="1:34" x14ac:dyDescent="0.25">
      <c r="A392">
        <v>391</v>
      </c>
      <c r="B392" s="5">
        <v>709758623</v>
      </c>
      <c r="C392" s="5">
        <v>51694048561</v>
      </c>
      <c r="D392">
        <v>7908</v>
      </c>
      <c r="E392" s="1" t="s">
        <v>1689</v>
      </c>
      <c r="F392" t="s">
        <v>1226</v>
      </c>
      <c r="G392" t="s">
        <v>1227</v>
      </c>
      <c r="H392">
        <v>25997</v>
      </c>
      <c r="I392">
        <v>23316440</v>
      </c>
      <c r="L392" s="2">
        <v>38311</v>
      </c>
      <c r="M392" s="3">
        <f t="shared" si="6"/>
        <v>2004</v>
      </c>
      <c r="N392" s="2" t="s">
        <v>28</v>
      </c>
      <c r="O392">
        <v>186</v>
      </c>
      <c r="P392" s="6">
        <v>15464</v>
      </c>
      <c r="Q392">
        <v>7732</v>
      </c>
      <c r="R392">
        <v>3092.8</v>
      </c>
      <c r="S392">
        <v>220</v>
      </c>
      <c r="T392" s="6">
        <v>624.96</v>
      </c>
      <c r="U392" t="s">
        <v>164</v>
      </c>
      <c r="V392" t="s">
        <v>1677</v>
      </c>
      <c r="W392" t="s">
        <v>1674</v>
      </c>
      <c r="X392" t="s">
        <v>1675</v>
      </c>
      <c r="Y392" t="s">
        <v>1679</v>
      </c>
      <c r="Z392" t="s">
        <v>1680</v>
      </c>
      <c r="AA392" t="s">
        <v>1228</v>
      </c>
      <c r="AB392">
        <v>42</v>
      </c>
      <c r="AC392">
        <v>58</v>
      </c>
      <c r="AE392">
        <v>26</v>
      </c>
      <c r="AH392" t="s">
        <v>31</v>
      </c>
    </row>
    <row r="393" spans="1:34" x14ac:dyDescent="0.25">
      <c r="A393">
        <v>392</v>
      </c>
      <c r="B393" s="5">
        <v>955598590</v>
      </c>
      <c r="C393" s="5">
        <v>70885545674</v>
      </c>
      <c r="D393">
        <v>6420</v>
      </c>
      <c r="E393" s="1" t="s">
        <v>1688</v>
      </c>
      <c r="F393" t="s">
        <v>1229</v>
      </c>
      <c r="G393" t="s">
        <v>1230</v>
      </c>
      <c r="H393">
        <v>29624</v>
      </c>
      <c r="I393">
        <v>26690488</v>
      </c>
      <c r="L393" s="2">
        <v>41552</v>
      </c>
      <c r="M393" s="3">
        <f t="shared" si="6"/>
        <v>2013</v>
      </c>
      <c r="N393" s="2" t="s">
        <v>28</v>
      </c>
      <c r="O393">
        <v>162</v>
      </c>
      <c r="P393" s="6">
        <v>11568</v>
      </c>
      <c r="Q393">
        <v>5784</v>
      </c>
      <c r="R393">
        <v>2313.6</v>
      </c>
      <c r="S393">
        <v>176</v>
      </c>
      <c r="T393" s="6">
        <v>544.32000000000005</v>
      </c>
      <c r="U393" t="s">
        <v>39</v>
      </c>
      <c r="V393" t="s">
        <v>1677</v>
      </c>
      <c r="W393" t="s">
        <v>1681</v>
      </c>
      <c r="X393" t="s">
        <v>1675</v>
      </c>
      <c r="Y393" t="s">
        <v>1679</v>
      </c>
      <c r="Z393" t="s">
        <v>1680</v>
      </c>
      <c r="AA393" t="s">
        <v>1231</v>
      </c>
      <c r="AB393">
        <v>86</v>
      </c>
      <c r="AC393">
        <v>29</v>
      </c>
      <c r="AE393">
        <v>167</v>
      </c>
      <c r="AH393" t="s">
        <v>41</v>
      </c>
    </row>
    <row r="394" spans="1:34" x14ac:dyDescent="0.25">
      <c r="A394">
        <v>393</v>
      </c>
      <c r="B394" s="5">
        <v>379135322</v>
      </c>
      <c r="C394" s="5">
        <v>18379317008</v>
      </c>
      <c r="D394">
        <v>1072</v>
      </c>
      <c r="E394" s="1" t="s">
        <v>1689</v>
      </c>
      <c r="F394" t="s">
        <v>1232</v>
      </c>
      <c r="G394" t="s">
        <v>1233</v>
      </c>
      <c r="H394">
        <v>29928</v>
      </c>
      <c r="I394">
        <v>34888967</v>
      </c>
      <c r="L394" s="2">
        <v>36498</v>
      </c>
      <c r="M394" s="3">
        <f t="shared" si="6"/>
        <v>1999</v>
      </c>
      <c r="N394" s="2">
        <v>38814</v>
      </c>
      <c r="O394">
        <v>168</v>
      </c>
      <c r="P394" s="6">
        <v>5545</v>
      </c>
      <c r="Q394">
        <v>2772.5</v>
      </c>
      <c r="R394">
        <v>1109</v>
      </c>
      <c r="S394">
        <v>198</v>
      </c>
      <c r="T394" s="6">
        <v>564.48</v>
      </c>
      <c r="U394" t="s">
        <v>140</v>
      </c>
      <c r="V394" t="s">
        <v>1682</v>
      </c>
      <c r="W394" t="s">
        <v>1678</v>
      </c>
      <c r="X394" t="s">
        <v>1683</v>
      </c>
      <c r="Y394" t="s">
        <v>1679</v>
      </c>
      <c r="Z394" t="s">
        <v>1684</v>
      </c>
      <c r="AA394" t="s">
        <v>1234</v>
      </c>
      <c r="AB394">
        <v>34</v>
      </c>
      <c r="AC394">
        <v>45</v>
      </c>
      <c r="AE394">
        <v>155</v>
      </c>
      <c r="AH394" t="s">
        <v>36</v>
      </c>
    </row>
    <row r="395" spans="1:34" x14ac:dyDescent="0.25">
      <c r="A395">
        <v>394</v>
      </c>
      <c r="B395" s="5">
        <v>903433992</v>
      </c>
      <c r="C395" s="5">
        <v>14730791706</v>
      </c>
      <c r="D395">
        <v>1526</v>
      </c>
      <c r="E395" s="1" t="s">
        <v>1688</v>
      </c>
      <c r="F395" t="s">
        <v>1235</v>
      </c>
      <c r="G395" t="s">
        <v>1236</v>
      </c>
      <c r="H395">
        <v>26911</v>
      </c>
      <c r="I395">
        <v>49790838</v>
      </c>
      <c r="L395" s="2">
        <v>38252</v>
      </c>
      <c r="M395" s="3">
        <f t="shared" si="6"/>
        <v>2004</v>
      </c>
      <c r="N395" s="2" t="s">
        <v>28</v>
      </c>
      <c r="O395">
        <v>187</v>
      </c>
      <c r="P395" s="6">
        <v>7457</v>
      </c>
      <c r="Q395">
        <v>3728.5</v>
      </c>
      <c r="R395">
        <v>1491.4</v>
      </c>
      <c r="S395">
        <v>154</v>
      </c>
      <c r="T395" s="6">
        <v>628.32000000000005</v>
      </c>
      <c r="U395" t="s">
        <v>127</v>
      </c>
      <c r="V395" t="s">
        <v>1686</v>
      </c>
      <c r="W395" t="s">
        <v>1685</v>
      </c>
      <c r="X395" t="s">
        <v>1683</v>
      </c>
      <c r="Y395" t="s">
        <v>1679</v>
      </c>
      <c r="Z395" t="s">
        <v>1684</v>
      </c>
      <c r="AA395" t="s">
        <v>1237</v>
      </c>
      <c r="AB395">
        <v>65</v>
      </c>
      <c r="AC395">
        <v>12</v>
      </c>
      <c r="AE395">
        <v>59</v>
      </c>
      <c r="AH395" t="s">
        <v>57</v>
      </c>
    </row>
    <row r="396" spans="1:34" x14ac:dyDescent="0.25">
      <c r="A396">
        <v>395</v>
      </c>
      <c r="B396" s="5">
        <v>446375131</v>
      </c>
      <c r="C396" s="5">
        <v>98040465951</v>
      </c>
      <c r="D396">
        <v>6666</v>
      </c>
      <c r="E396" s="1" t="s">
        <v>1689</v>
      </c>
      <c r="F396" t="s">
        <v>1238</v>
      </c>
      <c r="G396" t="s">
        <v>1239</v>
      </c>
      <c r="H396">
        <v>33291</v>
      </c>
      <c r="I396">
        <v>45270184</v>
      </c>
      <c r="L396" s="2">
        <v>39861</v>
      </c>
      <c r="M396" s="3">
        <f t="shared" si="6"/>
        <v>2009</v>
      </c>
      <c r="N396" s="2" t="s">
        <v>28</v>
      </c>
      <c r="O396">
        <v>171</v>
      </c>
      <c r="P396" s="6">
        <v>16637</v>
      </c>
      <c r="Q396">
        <v>8318.5</v>
      </c>
      <c r="R396">
        <v>3327.4</v>
      </c>
      <c r="S396">
        <v>308</v>
      </c>
      <c r="T396" s="6">
        <v>574.55999999999995</v>
      </c>
      <c r="U396" t="s">
        <v>64</v>
      </c>
      <c r="V396" t="s">
        <v>1682</v>
      </c>
      <c r="W396" t="s">
        <v>1685</v>
      </c>
      <c r="X396" t="s">
        <v>1683</v>
      </c>
      <c r="Y396" t="s">
        <v>1679</v>
      </c>
      <c r="Z396" t="s">
        <v>1684</v>
      </c>
      <c r="AA396" t="s">
        <v>1240</v>
      </c>
      <c r="AB396">
        <v>146</v>
      </c>
      <c r="AC396">
        <v>57</v>
      </c>
      <c r="AE396">
        <v>7</v>
      </c>
      <c r="AH396" t="s">
        <v>57</v>
      </c>
    </row>
    <row r="397" spans="1:34" x14ac:dyDescent="0.25">
      <c r="A397">
        <v>396</v>
      </c>
      <c r="B397" s="5">
        <v>754210732</v>
      </c>
      <c r="C397" s="5">
        <v>82273436498</v>
      </c>
      <c r="D397">
        <v>5223</v>
      </c>
      <c r="E397" s="1" t="s">
        <v>1689</v>
      </c>
      <c r="F397" t="s">
        <v>1241</v>
      </c>
      <c r="G397" t="s">
        <v>1242</v>
      </c>
      <c r="H397">
        <v>31880</v>
      </c>
      <c r="I397">
        <v>47814227</v>
      </c>
      <c r="L397" s="2">
        <v>42434</v>
      </c>
      <c r="M397" s="3">
        <f t="shared" si="6"/>
        <v>2016</v>
      </c>
      <c r="N397" s="2" t="s">
        <v>28</v>
      </c>
      <c r="O397">
        <v>194</v>
      </c>
      <c r="P397" s="6">
        <v>14101</v>
      </c>
      <c r="Q397">
        <v>7050.5</v>
      </c>
      <c r="R397">
        <v>2820.2000000000003</v>
      </c>
      <c r="S397">
        <v>242</v>
      </c>
      <c r="T397" s="6">
        <v>651.84</v>
      </c>
      <c r="U397" t="s">
        <v>44</v>
      </c>
      <c r="V397" t="s">
        <v>1682</v>
      </c>
      <c r="W397" t="s">
        <v>1681</v>
      </c>
      <c r="X397" t="s">
        <v>1683</v>
      </c>
      <c r="Y397" t="s">
        <v>1679</v>
      </c>
      <c r="Z397" t="s">
        <v>1684</v>
      </c>
      <c r="AA397" t="s">
        <v>1243</v>
      </c>
      <c r="AB397">
        <v>150</v>
      </c>
      <c r="AC397">
        <v>46</v>
      </c>
      <c r="AE397">
        <v>53</v>
      </c>
      <c r="AH397" t="s">
        <v>41</v>
      </c>
    </row>
    <row r="398" spans="1:34" x14ac:dyDescent="0.25">
      <c r="A398">
        <v>397</v>
      </c>
      <c r="B398" s="5">
        <v>994059962</v>
      </c>
      <c r="C398" s="5">
        <v>11744503687</v>
      </c>
      <c r="D398">
        <v>4368</v>
      </c>
      <c r="E398" s="1" t="s">
        <v>1689</v>
      </c>
      <c r="F398" t="s">
        <v>1244</v>
      </c>
      <c r="G398" t="s">
        <v>1245</v>
      </c>
      <c r="H398">
        <v>33985</v>
      </c>
      <c r="I398">
        <v>42639598</v>
      </c>
      <c r="L398" s="2">
        <v>40555</v>
      </c>
      <c r="M398" s="3">
        <f t="shared" si="6"/>
        <v>2011</v>
      </c>
      <c r="N398" s="2">
        <v>41098</v>
      </c>
      <c r="O398">
        <v>187</v>
      </c>
      <c r="P398" s="6">
        <v>18348</v>
      </c>
      <c r="Q398">
        <v>9174</v>
      </c>
      <c r="R398">
        <v>3669.6000000000004</v>
      </c>
      <c r="S398">
        <v>264</v>
      </c>
      <c r="T398" s="6">
        <v>628.32000000000005</v>
      </c>
      <c r="U398" t="s">
        <v>127</v>
      </c>
      <c r="V398" t="s">
        <v>1686</v>
      </c>
      <c r="W398" t="s">
        <v>1685</v>
      </c>
      <c r="X398" t="s">
        <v>1683</v>
      </c>
      <c r="Y398" t="s">
        <v>1679</v>
      </c>
      <c r="Z398" t="s">
        <v>1684</v>
      </c>
      <c r="AA398" t="s">
        <v>1246</v>
      </c>
      <c r="AB398">
        <v>58</v>
      </c>
      <c r="AC398">
        <v>57</v>
      </c>
      <c r="AE398">
        <v>196</v>
      </c>
      <c r="AH398" t="s">
        <v>57</v>
      </c>
    </row>
    <row r="399" spans="1:34" x14ac:dyDescent="0.25">
      <c r="A399">
        <v>398</v>
      </c>
      <c r="B399" s="5">
        <v>772408887</v>
      </c>
      <c r="C399" s="5">
        <v>76601050822</v>
      </c>
      <c r="D399">
        <v>7086</v>
      </c>
      <c r="E399" s="1" t="s">
        <v>1688</v>
      </c>
      <c r="F399" t="s">
        <v>1247</v>
      </c>
      <c r="G399" t="s">
        <v>1248</v>
      </c>
      <c r="H399">
        <v>35818</v>
      </c>
      <c r="I399">
        <v>22505160</v>
      </c>
      <c r="L399" s="2">
        <v>42388</v>
      </c>
      <c r="M399" s="3">
        <f t="shared" si="6"/>
        <v>2016</v>
      </c>
      <c r="N399" s="2">
        <v>43105</v>
      </c>
      <c r="O399">
        <v>161</v>
      </c>
      <c r="P399" s="6">
        <v>6326</v>
      </c>
      <c r="Q399">
        <v>3163</v>
      </c>
      <c r="R399">
        <v>1265.2</v>
      </c>
      <c r="S399">
        <v>154</v>
      </c>
      <c r="T399" s="6">
        <v>540.96</v>
      </c>
      <c r="U399" t="s">
        <v>68</v>
      </c>
      <c r="V399" t="s">
        <v>1686</v>
      </c>
      <c r="W399" t="s">
        <v>1681</v>
      </c>
      <c r="X399" t="s">
        <v>1683</v>
      </c>
      <c r="Y399" t="s">
        <v>1679</v>
      </c>
      <c r="Z399" t="s">
        <v>1684</v>
      </c>
      <c r="AA399" t="s">
        <v>1249</v>
      </c>
      <c r="AB399">
        <v>35</v>
      </c>
      <c r="AC399">
        <v>33</v>
      </c>
      <c r="AE399">
        <v>39</v>
      </c>
      <c r="AH399" t="s">
        <v>41</v>
      </c>
    </row>
    <row r="400" spans="1:34" x14ac:dyDescent="0.25">
      <c r="A400">
        <v>399</v>
      </c>
      <c r="B400" s="5">
        <v>444437861</v>
      </c>
      <c r="C400" s="3">
        <v>5491331746</v>
      </c>
      <c r="D400">
        <v>3897</v>
      </c>
      <c r="E400" s="1" t="s">
        <v>1688</v>
      </c>
      <c r="F400" t="s">
        <v>1250</v>
      </c>
      <c r="G400" t="s">
        <v>1251</v>
      </c>
      <c r="H400">
        <v>33757</v>
      </c>
      <c r="I400">
        <v>22236777</v>
      </c>
      <c r="L400" s="2">
        <v>40733</v>
      </c>
      <c r="M400" s="3">
        <f t="shared" si="6"/>
        <v>2011</v>
      </c>
      <c r="N400" s="2" t="s">
        <v>28</v>
      </c>
      <c r="O400">
        <v>161</v>
      </c>
      <c r="P400" s="6">
        <v>5193</v>
      </c>
      <c r="Q400">
        <v>2596.5</v>
      </c>
      <c r="R400">
        <v>1038.6000000000001</v>
      </c>
      <c r="S400">
        <v>264</v>
      </c>
      <c r="T400" s="6">
        <v>540.96</v>
      </c>
      <c r="U400" t="s">
        <v>140</v>
      </c>
      <c r="V400" t="s">
        <v>1682</v>
      </c>
      <c r="W400" t="s">
        <v>1678</v>
      </c>
      <c r="X400" t="s">
        <v>1683</v>
      </c>
      <c r="Y400" t="s">
        <v>1679</v>
      </c>
      <c r="Z400" t="s">
        <v>1684</v>
      </c>
      <c r="AA400" t="s">
        <v>1252</v>
      </c>
      <c r="AB400">
        <v>30</v>
      </c>
      <c r="AC400">
        <v>32</v>
      </c>
      <c r="AE400">
        <v>185</v>
      </c>
      <c r="AH400" t="s">
        <v>36</v>
      </c>
    </row>
    <row r="401" spans="1:34" x14ac:dyDescent="0.25">
      <c r="A401">
        <v>400</v>
      </c>
      <c r="B401" s="5">
        <v>844810884</v>
      </c>
      <c r="C401" s="5">
        <v>14197416597</v>
      </c>
      <c r="D401">
        <v>2716</v>
      </c>
      <c r="E401" s="1" t="s">
        <v>1688</v>
      </c>
      <c r="F401" t="s">
        <v>1253</v>
      </c>
      <c r="G401" t="s">
        <v>1254</v>
      </c>
      <c r="H401">
        <v>34785</v>
      </c>
      <c r="I401">
        <v>49620644</v>
      </c>
      <c r="L401" s="2">
        <v>41355</v>
      </c>
      <c r="M401" s="3">
        <f t="shared" si="6"/>
        <v>2013</v>
      </c>
      <c r="N401" s="2" t="s">
        <v>28</v>
      </c>
      <c r="O401">
        <v>228</v>
      </c>
      <c r="P401" s="6">
        <v>24416</v>
      </c>
      <c r="Q401">
        <v>12208</v>
      </c>
      <c r="R401">
        <v>4883.2</v>
      </c>
      <c r="S401">
        <v>198</v>
      </c>
      <c r="T401" s="6">
        <v>766.07999999999993</v>
      </c>
      <c r="U401" t="s">
        <v>446</v>
      </c>
      <c r="V401" t="s">
        <v>1680</v>
      </c>
      <c r="W401" t="s">
        <v>1685</v>
      </c>
      <c r="X401" t="s">
        <v>1675</v>
      </c>
      <c r="Y401" t="s">
        <v>61</v>
      </c>
      <c r="Z401" t="s">
        <v>1676</v>
      </c>
      <c r="AA401" t="s">
        <v>1255</v>
      </c>
      <c r="AB401">
        <v>22</v>
      </c>
      <c r="AC401">
        <v>57</v>
      </c>
      <c r="AE401">
        <v>57</v>
      </c>
      <c r="AH401" t="s">
        <v>57</v>
      </c>
    </row>
    <row r="402" spans="1:34" x14ac:dyDescent="0.25">
      <c r="A402">
        <v>401</v>
      </c>
      <c r="B402" s="5">
        <v>902928370</v>
      </c>
      <c r="C402" s="5">
        <v>95289109417</v>
      </c>
      <c r="D402">
        <v>7390</v>
      </c>
      <c r="E402" s="1" t="s">
        <v>1688</v>
      </c>
      <c r="F402" t="s">
        <v>1256</v>
      </c>
      <c r="G402" t="s">
        <v>1257</v>
      </c>
      <c r="H402">
        <v>29528</v>
      </c>
      <c r="I402">
        <v>30041740</v>
      </c>
      <c r="L402" s="2">
        <v>40385</v>
      </c>
      <c r="M402" s="3">
        <f t="shared" si="6"/>
        <v>2010</v>
      </c>
      <c r="N402" s="2">
        <v>40525</v>
      </c>
      <c r="O402">
        <v>214</v>
      </c>
      <c r="P402" s="6">
        <v>10064</v>
      </c>
      <c r="Q402">
        <v>5032</v>
      </c>
      <c r="R402">
        <v>2012.8000000000002</v>
      </c>
      <c r="S402">
        <v>308</v>
      </c>
      <c r="T402" s="6">
        <v>719.04</v>
      </c>
      <c r="U402" t="s">
        <v>55</v>
      </c>
      <c r="V402" t="s">
        <v>1673</v>
      </c>
      <c r="W402" t="s">
        <v>1685</v>
      </c>
      <c r="X402" t="s">
        <v>1675</v>
      </c>
      <c r="Y402" t="s">
        <v>61</v>
      </c>
      <c r="Z402" t="s">
        <v>1676</v>
      </c>
      <c r="AA402" t="s">
        <v>1258</v>
      </c>
      <c r="AB402">
        <v>111</v>
      </c>
      <c r="AC402">
        <v>4</v>
      </c>
      <c r="AE402">
        <v>90</v>
      </c>
      <c r="AH402" t="s">
        <v>57</v>
      </c>
    </row>
    <row r="403" spans="1:34" x14ac:dyDescent="0.25">
      <c r="A403">
        <v>402</v>
      </c>
      <c r="B403" s="5">
        <v>773983404</v>
      </c>
      <c r="C403" s="3">
        <v>467464996</v>
      </c>
      <c r="D403">
        <v>4097</v>
      </c>
      <c r="E403" s="1" t="s">
        <v>1688</v>
      </c>
      <c r="F403" t="s">
        <v>1259</v>
      </c>
      <c r="G403" t="s">
        <v>1260</v>
      </c>
      <c r="H403">
        <v>31934</v>
      </c>
      <c r="I403">
        <v>37326824</v>
      </c>
      <c r="L403" s="2">
        <v>38504</v>
      </c>
      <c r="M403" s="3">
        <f t="shared" si="6"/>
        <v>2005</v>
      </c>
      <c r="N403" s="2" t="s">
        <v>28</v>
      </c>
      <c r="O403">
        <v>206</v>
      </c>
      <c r="P403" s="6">
        <v>24597</v>
      </c>
      <c r="Q403">
        <v>12298.5</v>
      </c>
      <c r="R403">
        <v>4919.4000000000005</v>
      </c>
      <c r="S403">
        <v>176</v>
      </c>
      <c r="T403" s="6">
        <v>692.16</v>
      </c>
      <c r="U403" t="s">
        <v>164</v>
      </c>
      <c r="V403" t="s">
        <v>1677</v>
      </c>
      <c r="W403" t="s">
        <v>1674</v>
      </c>
      <c r="X403" t="s">
        <v>1675</v>
      </c>
      <c r="Y403" t="s">
        <v>1679</v>
      </c>
      <c r="Z403" t="s">
        <v>1680</v>
      </c>
      <c r="AA403" t="s">
        <v>1261</v>
      </c>
      <c r="AB403">
        <v>106</v>
      </c>
      <c r="AC403">
        <v>31</v>
      </c>
      <c r="AE403">
        <v>179</v>
      </c>
      <c r="AH403" t="s">
        <v>31</v>
      </c>
    </row>
    <row r="404" spans="1:34" x14ac:dyDescent="0.25">
      <c r="A404">
        <v>403</v>
      </c>
      <c r="B404" s="5">
        <v>993321141</v>
      </c>
      <c r="C404" s="5">
        <v>40616269986</v>
      </c>
      <c r="D404">
        <v>6742</v>
      </c>
      <c r="E404" s="1" t="s">
        <v>1688</v>
      </c>
      <c r="F404" t="s">
        <v>1262</v>
      </c>
      <c r="G404" t="s">
        <v>1263</v>
      </c>
      <c r="H404">
        <v>27770</v>
      </c>
      <c r="I404">
        <v>46861137</v>
      </c>
      <c r="L404" s="2">
        <v>36124</v>
      </c>
      <c r="M404" s="3">
        <f t="shared" si="6"/>
        <v>1998</v>
      </c>
      <c r="N404" s="2" t="s">
        <v>28</v>
      </c>
      <c r="O404">
        <v>161</v>
      </c>
      <c r="P404" s="6">
        <v>19233</v>
      </c>
      <c r="Q404">
        <v>9616.5</v>
      </c>
      <c r="R404">
        <v>3846.6000000000004</v>
      </c>
      <c r="S404">
        <v>242</v>
      </c>
      <c r="T404" s="6">
        <v>540.96</v>
      </c>
      <c r="U404" t="s">
        <v>68</v>
      </c>
      <c r="V404" t="s">
        <v>1686</v>
      </c>
      <c r="W404" t="s">
        <v>1681</v>
      </c>
      <c r="X404" t="s">
        <v>1683</v>
      </c>
      <c r="Y404" t="s">
        <v>1679</v>
      </c>
      <c r="Z404" t="s">
        <v>1684</v>
      </c>
      <c r="AA404" t="s">
        <v>1264</v>
      </c>
      <c r="AB404">
        <v>129</v>
      </c>
      <c r="AC404">
        <v>58</v>
      </c>
      <c r="AE404">
        <v>131</v>
      </c>
      <c r="AH404" t="s">
        <v>41</v>
      </c>
    </row>
    <row r="405" spans="1:34" x14ac:dyDescent="0.25">
      <c r="A405">
        <v>404</v>
      </c>
      <c r="B405" s="5">
        <v>839066393</v>
      </c>
      <c r="C405" s="5">
        <v>97977355071</v>
      </c>
      <c r="D405">
        <v>1280</v>
      </c>
      <c r="E405" s="1" t="s">
        <v>1688</v>
      </c>
      <c r="F405" t="s">
        <v>1265</v>
      </c>
      <c r="G405" t="s">
        <v>1266</v>
      </c>
      <c r="H405">
        <v>27691</v>
      </c>
      <c r="I405">
        <v>27282530</v>
      </c>
      <c r="L405" s="2">
        <v>36313</v>
      </c>
      <c r="M405" s="3">
        <f t="shared" si="6"/>
        <v>1999</v>
      </c>
      <c r="N405" s="2" t="s">
        <v>28</v>
      </c>
      <c r="O405">
        <v>250</v>
      </c>
      <c r="P405" s="6">
        <v>19403</v>
      </c>
      <c r="Q405">
        <v>9701.5</v>
      </c>
      <c r="R405">
        <v>3880.6000000000004</v>
      </c>
      <c r="S405">
        <v>286</v>
      </c>
      <c r="T405" s="6">
        <v>840</v>
      </c>
      <c r="U405" t="s">
        <v>64</v>
      </c>
      <c r="V405" t="s">
        <v>1682</v>
      </c>
      <c r="W405" t="s">
        <v>1685</v>
      </c>
      <c r="X405" t="s">
        <v>1683</v>
      </c>
      <c r="Y405" t="s">
        <v>1679</v>
      </c>
      <c r="Z405" t="s">
        <v>1684</v>
      </c>
      <c r="AA405" t="s">
        <v>1267</v>
      </c>
      <c r="AB405">
        <v>46</v>
      </c>
      <c r="AC405">
        <v>46</v>
      </c>
      <c r="AE405">
        <v>77</v>
      </c>
      <c r="AH405" t="s">
        <v>57</v>
      </c>
    </row>
    <row r="406" spans="1:34" x14ac:dyDescent="0.25">
      <c r="A406">
        <v>405</v>
      </c>
      <c r="B406" s="5">
        <v>947787453</v>
      </c>
      <c r="C406" s="5">
        <v>46000675854</v>
      </c>
      <c r="D406">
        <v>5852</v>
      </c>
      <c r="E406" s="1" t="s">
        <v>1689</v>
      </c>
      <c r="F406" t="s">
        <v>1268</v>
      </c>
      <c r="G406" t="s">
        <v>1269</v>
      </c>
      <c r="H406">
        <v>29468</v>
      </c>
      <c r="I406">
        <v>25655552</v>
      </c>
      <c r="L406" s="2">
        <v>41997</v>
      </c>
      <c r="M406" s="3">
        <f t="shared" si="6"/>
        <v>2014</v>
      </c>
      <c r="N406" s="2" t="s">
        <v>28</v>
      </c>
      <c r="O406">
        <v>206</v>
      </c>
      <c r="P406" s="6">
        <v>20566</v>
      </c>
      <c r="Q406">
        <v>10283</v>
      </c>
      <c r="R406">
        <v>4113.2</v>
      </c>
      <c r="S406">
        <v>220</v>
      </c>
      <c r="T406" s="6">
        <v>692.16</v>
      </c>
      <c r="U406" t="s">
        <v>168</v>
      </c>
      <c r="V406" t="s">
        <v>1677</v>
      </c>
      <c r="W406" t="s">
        <v>1687</v>
      </c>
      <c r="X406" t="s">
        <v>1675</v>
      </c>
      <c r="Y406" t="s">
        <v>1679</v>
      </c>
      <c r="Z406" t="s">
        <v>1680</v>
      </c>
      <c r="AA406" t="s">
        <v>1270</v>
      </c>
      <c r="AB406">
        <v>102</v>
      </c>
      <c r="AC406">
        <v>19</v>
      </c>
      <c r="AE406">
        <v>140</v>
      </c>
      <c r="AH406" t="s">
        <v>98</v>
      </c>
    </row>
    <row r="407" spans="1:34" x14ac:dyDescent="0.25">
      <c r="A407">
        <v>406</v>
      </c>
      <c r="B407" s="5">
        <v>162654905</v>
      </c>
      <c r="C407" s="5">
        <v>51770579641</v>
      </c>
      <c r="D407">
        <v>7962</v>
      </c>
      <c r="E407" s="1" t="s">
        <v>1689</v>
      </c>
      <c r="F407" t="s">
        <v>1271</v>
      </c>
      <c r="G407" t="s">
        <v>1272</v>
      </c>
      <c r="H407">
        <v>32822</v>
      </c>
      <c r="I407">
        <v>43733334</v>
      </c>
      <c r="L407" s="2">
        <v>39392</v>
      </c>
      <c r="M407" s="3">
        <f t="shared" si="6"/>
        <v>2007</v>
      </c>
      <c r="N407" s="2" t="s">
        <v>28</v>
      </c>
      <c r="O407">
        <v>227</v>
      </c>
      <c r="P407" s="6">
        <v>6034</v>
      </c>
      <c r="Q407">
        <v>3017</v>
      </c>
      <c r="R407">
        <v>1206.8</v>
      </c>
      <c r="S407">
        <v>308</v>
      </c>
      <c r="T407" s="6">
        <v>762.71999999999991</v>
      </c>
      <c r="U407" t="s">
        <v>39</v>
      </c>
      <c r="V407" t="s">
        <v>1677</v>
      </c>
      <c r="W407" t="s">
        <v>1681</v>
      </c>
      <c r="X407" t="s">
        <v>1675</v>
      </c>
      <c r="Y407" t="s">
        <v>1679</v>
      </c>
      <c r="Z407" t="s">
        <v>1680</v>
      </c>
      <c r="AA407" t="s">
        <v>1273</v>
      </c>
      <c r="AB407">
        <v>43</v>
      </c>
      <c r="AC407">
        <v>8</v>
      </c>
      <c r="AE407">
        <v>26</v>
      </c>
      <c r="AH407" t="s">
        <v>41</v>
      </c>
    </row>
    <row r="408" spans="1:34" x14ac:dyDescent="0.25">
      <c r="A408">
        <v>407</v>
      </c>
      <c r="B408" s="5">
        <v>347765084</v>
      </c>
      <c r="C408" s="5">
        <v>42201510182</v>
      </c>
      <c r="D408">
        <v>6761</v>
      </c>
      <c r="E408" s="1" t="s">
        <v>1689</v>
      </c>
      <c r="F408" t="s">
        <v>1274</v>
      </c>
      <c r="G408" t="s">
        <v>1275</v>
      </c>
      <c r="H408">
        <v>35084</v>
      </c>
      <c r="I408">
        <v>30075072</v>
      </c>
      <c r="L408" s="2">
        <v>41654</v>
      </c>
      <c r="M408" s="3">
        <f t="shared" si="6"/>
        <v>2014</v>
      </c>
      <c r="N408" s="2">
        <v>43105</v>
      </c>
      <c r="O408">
        <v>165</v>
      </c>
      <c r="P408" s="6">
        <v>22374</v>
      </c>
      <c r="Q408">
        <v>11187</v>
      </c>
      <c r="R408">
        <v>4474.8</v>
      </c>
      <c r="S408">
        <v>154</v>
      </c>
      <c r="T408" s="6">
        <v>554.4</v>
      </c>
      <c r="U408" t="s">
        <v>34</v>
      </c>
      <c r="V408" t="s">
        <v>1677</v>
      </c>
      <c r="W408" t="s">
        <v>1678</v>
      </c>
      <c r="X408" t="s">
        <v>1675</v>
      </c>
      <c r="Y408" t="s">
        <v>1679</v>
      </c>
      <c r="Z408" t="s">
        <v>1680</v>
      </c>
      <c r="AA408" t="s">
        <v>1276</v>
      </c>
      <c r="AB408">
        <v>79</v>
      </c>
      <c r="AC408">
        <v>36</v>
      </c>
      <c r="AE408">
        <v>183</v>
      </c>
      <c r="AH408" t="s">
        <v>36</v>
      </c>
    </row>
    <row r="409" spans="1:34" x14ac:dyDescent="0.25">
      <c r="A409">
        <v>408</v>
      </c>
      <c r="B409" s="5">
        <v>811236996</v>
      </c>
      <c r="C409" s="5">
        <v>25104167760</v>
      </c>
      <c r="D409">
        <v>3780</v>
      </c>
      <c r="E409" s="1" t="s">
        <v>1688</v>
      </c>
      <c r="F409" t="s">
        <v>1277</v>
      </c>
      <c r="G409" t="s">
        <v>500</v>
      </c>
      <c r="H409">
        <v>34687</v>
      </c>
      <c r="I409">
        <v>47285154</v>
      </c>
      <c r="L409" s="2">
        <v>42973</v>
      </c>
      <c r="M409" s="3">
        <f t="shared" si="6"/>
        <v>2017</v>
      </c>
      <c r="N409" s="2" t="s">
        <v>28</v>
      </c>
      <c r="O409">
        <v>189</v>
      </c>
      <c r="P409" s="6">
        <v>6403</v>
      </c>
      <c r="Q409">
        <v>3201.5</v>
      </c>
      <c r="R409">
        <v>1280.6000000000001</v>
      </c>
      <c r="S409">
        <v>154</v>
      </c>
      <c r="T409" s="6">
        <v>635.04</v>
      </c>
      <c r="U409" t="s">
        <v>164</v>
      </c>
      <c r="V409" t="s">
        <v>1677</v>
      </c>
      <c r="W409" t="s">
        <v>1674</v>
      </c>
      <c r="X409" t="s">
        <v>1675</v>
      </c>
      <c r="Y409" t="s">
        <v>1679</v>
      </c>
      <c r="Z409" t="s">
        <v>1680</v>
      </c>
      <c r="AA409" t="s">
        <v>1278</v>
      </c>
      <c r="AB409">
        <v>68</v>
      </c>
      <c r="AC409">
        <v>12</v>
      </c>
      <c r="AE409">
        <v>20</v>
      </c>
      <c r="AH409" t="s">
        <v>31</v>
      </c>
    </row>
    <row r="410" spans="1:34" x14ac:dyDescent="0.25">
      <c r="A410">
        <v>409</v>
      </c>
      <c r="B410" s="5">
        <v>843186297</v>
      </c>
      <c r="C410" s="5">
        <v>20123952566</v>
      </c>
      <c r="D410">
        <v>5428</v>
      </c>
      <c r="E410" s="1" t="s">
        <v>1689</v>
      </c>
      <c r="F410" t="s">
        <v>1279</v>
      </c>
      <c r="G410" t="s">
        <v>1280</v>
      </c>
      <c r="H410">
        <v>36289</v>
      </c>
      <c r="I410">
        <v>45204678</v>
      </c>
      <c r="L410" s="2">
        <v>42859</v>
      </c>
      <c r="M410" s="3">
        <f t="shared" si="6"/>
        <v>2017</v>
      </c>
      <c r="N410" s="2" t="s">
        <v>28</v>
      </c>
      <c r="O410">
        <v>162</v>
      </c>
      <c r="P410" s="6">
        <v>6361</v>
      </c>
      <c r="Q410">
        <v>3180.5</v>
      </c>
      <c r="R410">
        <v>1272.2</v>
      </c>
      <c r="S410">
        <v>264</v>
      </c>
      <c r="T410" s="6">
        <v>544.32000000000005</v>
      </c>
      <c r="U410" t="s">
        <v>82</v>
      </c>
      <c r="V410" t="s">
        <v>1677</v>
      </c>
      <c r="W410" t="s">
        <v>1685</v>
      </c>
      <c r="X410" t="s">
        <v>1675</v>
      </c>
      <c r="Y410" t="s">
        <v>1679</v>
      </c>
      <c r="Z410" t="s">
        <v>1680</v>
      </c>
      <c r="AA410" t="s">
        <v>1281</v>
      </c>
      <c r="AB410">
        <v>138</v>
      </c>
      <c r="AC410">
        <v>39</v>
      </c>
      <c r="AE410">
        <v>124</v>
      </c>
      <c r="AH410" t="s">
        <v>57</v>
      </c>
    </row>
    <row r="411" spans="1:34" x14ac:dyDescent="0.25">
      <c r="A411">
        <v>410</v>
      </c>
      <c r="B411" s="5">
        <v>929223260</v>
      </c>
      <c r="C411" s="5">
        <v>29109681047</v>
      </c>
      <c r="D411">
        <v>4279</v>
      </c>
      <c r="E411" s="1" t="s">
        <v>1688</v>
      </c>
      <c r="F411" t="s">
        <v>1282</v>
      </c>
      <c r="G411" t="s">
        <v>1283</v>
      </c>
      <c r="H411">
        <v>31312</v>
      </c>
      <c r="I411">
        <v>49159866</v>
      </c>
      <c r="L411" s="2">
        <v>38643</v>
      </c>
      <c r="M411" s="3">
        <f t="shared" si="6"/>
        <v>2005</v>
      </c>
      <c r="N411" s="2" t="s">
        <v>28</v>
      </c>
      <c r="O411">
        <v>170</v>
      </c>
      <c r="P411" s="6">
        <v>14021</v>
      </c>
      <c r="Q411">
        <v>7010.5</v>
      </c>
      <c r="R411">
        <v>2804.2000000000003</v>
      </c>
      <c r="S411">
        <v>220</v>
      </c>
      <c r="T411" s="6">
        <v>571.19999999999993</v>
      </c>
      <c r="U411" t="s">
        <v>790</v>
      </c>
      <c r="V411" t="s">
        <v>1673</v>
      </c>
      <c r="W411" t="s">
        <v>1687</v>
      </c>
      <c r="X411" t="s">
        <v>1675</v>
      </c>
      <c r="Y411" t="s">
        <v>61</v>
      </c>
      <c r="Z411" t="s">
        <v>1676</v>
      </c>
      <c r="AA411" t="s">
        <v>1284</v>
      </c>
      <c r="AB411">
        <v>76</v>
      </c>
      <c r="AC411">
        <v>23</v>
      </c>
      <c r="AE411">
        <v>3</v>
      </c>
      <c r="AH411" t="s">
        <v>98</v>
      </c>
    </row>
    <row r="412" spans="1:34" x14ac:dyDescent="0.25">
      <c r="A412">
        <v>411</v>
      </c>
      <c r="B412" s="5">
        <v>464485545</v>
      </c>
      <c r="C412" s="5">
        <v>66688518729</v>
      </c>
      <c r="D412">
        <v>2408</v>
      </c>
      <c r="E412" s="1" t="s">
        <v>1689</v>
      </c>
      <c r="F412" t="s">
        <v>1285</v>
      </c>
      <c r="G412" t="s">
        <v>1286</v>
      </c>
      <c r="H412">
        <v>26473</v>
      </c>
      <c r="I412">
        <v>25031336</v>
      </c>
      <c r="L412" s="2">
        <v>36789</v>
      </c>
      <c r="M412" s="3">
        <f t="shared" si="6"/>
        <v>2000</v>
      </c>
      <c r="N412" s="2" t="s">
        <v>28</v>
      </c>
      <c r="O412">
        <v>232</v>
      </c>
      <c r="P412" s="6">
        <v>23747</v>
      </c>
      <c r="Q412">
        <v>11873.5</v>
      </c>
      <c r="R412">
        <v>4749.4000000000005</v>
      </c>
      <c r="S412">
        <v>176</v>
      </c>
      <c r="T412" s="6">
        <v>779.52</v>
      </c>
      <c r="U412" t="s">
        <v>790</v>
      </c>
      <c r="V412" t="s">
        <v>1673</v>
      </c>
      <c r="W412" t="s">
        <v>1687</v>
      </c>
      <c r="X412" t="s">
        <v>1675</v>
      </c>
      <c r="Y412" t="s">
        <v>61</v>
      </c>
      <c r="Z412" t="s">
        <v>1676</v>
      </c>
      <c r="AA412" t="s">
        <v>1287</v>
      </c>
      <c r="AB412">
        <v>73</v>
      </c>
      <c r="AC412">
        <v>16</v>
      </c>
      <c r="AE412">
        <v>111</v>
      </c>
      <c r="AH412" t="s">
        <v>98</v>
      </c>
    </row>
    <row r="413" spans="1:34" x14ac:dyDescent="0.25">
      <c r="A413">
        <v>412</v>
      </c>
      <c r="B413" s="5">
        <v>153410587</v>
      </c>
      <c r="C413" s="5">
        <v>33290646969</v>
      </c>
      <c r="D413">
        <v>7712</v>
      </c>
      <c r="E413" s="1" t="s">
        <v>1688</v>
      </c>
      <c r="F413" t="s">
        <v>1288</v>
      </c>
      <c r="G413" t="s">
        <v>1289</v>
      </c>
      <c r="H413">
        <v>33788</v>
      </c>
      <c r="I413">
        <v>41059560</v>
      </c>
      <c r="L413" s="2">
        <v>40702</v>
      </c>
      <c r="M413" s="3">
        <f t="shared" si="6"/>
        <v>2011</v>
      </c>
      <c r="N413" s="2">
        <v>41377</v>
      </c>
      <c r="O413">
        <v>153</v>
      </c>
      <c r="P413" s="6">
        <v>1692</v>
      </c>
      <c r="Q413">
        <v>846</v>
      </c>
      <c r="R413">
        <v>338.40000000000003</v>
      </c>
      <c r="S413">
        <v>220</v>
      </c>
      <c r="T413" s="6">
        <v>514.07999999999993</v>
      </c>
      <c r="U413" t="s">
        <v>140</v>
      </c>
      <c r="V413" t="s">
        <v>1682</v>
      </c>
      <c r="W413" t="s">
        <v>1678</v>
      </c>
      <c r="X413" t="s">
        <v>1683</v>
      </c>
      <c r="Y413" t="s">
        <v>1679</v>
      </c>
      <c r="Z413" t="s">
        <v>1684</v>
      </c>
      <c r="AA413" t="s">
        <v>1290</v>
      </c>
      <c r="AB413">
        <v>60</v>
      </c>
      <c r="AC413">
        <v>27</v>
      </c>
      <c r="AE413">
        <v>170</v>
      </c>
      <c r="AH413" t="s">
        <v>36</v>
      </c>
    </row>
    <row r="414" spans="1:34" x14ac:dyDescent="0.25">
      <c r="A414">
        <v>413</v>
      </c>
      <c r="B414" s="5">
        <v>390671095</v>
      </c>
      <c r="C414" s="5">
        <v>54805422684</v>
      </c>
      <c r="D414">
        <v>3777</v>
      </c>
      <c r="E414" s="1" t="s">
        <v>1688</v>
      </c>
      <c r="F414" t="s">
        <v>1291</v>
      </c>
      <c r="G414" t="s">
        <v>1292</v>
      </c>
      <c r="H414">
        <v>33829</v>
      </c>
      <c r="I414">
        <v>24185391</v>
      </c>
      <c r="L414" s="2">
        <v>41505</v>
      </c>
      <c r="M414" s="3">
        <f t="shared" si="6"/>
        <v>2013</v>
      </c>
      <c r="N414" s="2" t="s">
        <v>28</v>
      </c>
      <c r="O414">
        <v>205</v>
      </c>
      <c r="P414" s="6">
        <v>8304</v>
      </c>
      <c r="Q414">
        <v>4152</v>
      </c>
      <c r="R414">
        <v>1660.8000000000002</v>
      </c>
      <c r="S414">
        <v>242</v>
      </c>
      <c r="T414" s="6">
        <v>688.80000000000007</v>
      </c>
      <c r="U414" t="s">
        <v>110</v>
      </c>
      <c r="V414" t="s">
        <v>1680</v>
      </c>
      <c r="W414" t="s">
        <v>1687</v>
      </c>
      <c r="X414" t="s">
        <v>1675</v>
      </c>
      <c r="Y414" t="s">
        <v>61</v>
      </c>
      <c r="Z414" t="s">
        <v>1676</v>
      </c>
      <c r="AA414" t="s">
        <v>1293</v>
      </c>
      <c r="AB414">
        <v>37</v>
      </c>
      <c r="AC414">
        <v>31</v>
      </c>
      <c r="AE414">
        <v>170</v>
      </c>
      <c r="AH414" t="s">
        <v>98</v>
      </c>
    </row>
    <row r="415" spans="1:34" x14ac:dyDescent="0.25">
      <c r="A415">
        <v>414</v>
      </c>
      <c r="B415" s="5">
        <v>598821192</v>
      </c>
      <c r="C415" s="5">
        <v>26916365453</v>
      </c>
      <c r="D415">
        <v>5041</v>
      </c>
      <c r="E415" s="1" t="s">
        <v>1689</v>
      </c>
      <c r="F415" t="s">
        <v>1294</v>
      </c>
      <c r="G415" t="s">
        <v>196</v>
      </c>
      <c r="H415">
        <v>29340</v>
      </c>
      <c r="I415">
        <v>32097757</v>
      </c>
      <c r="L415" s="2">
        <v>37335</v>
      </c>
      <c r="M415" s="3">
        <f t="shared" si="6"/>
        <v>2002</v>
      </c>
      <c r="N415" s="2" t="s">
        <v>28</v>
      </c>
      <c r="O415">
        <v>220</v>
      </c>
      <c r="P415" s="6">
        <v>20689</v>
      </c>
      <c r="Q415">
        <v>10344.5</v>
      </c>
      <c r="R415">
        <v>4137.8</v>
      </c>
      <c r="S415">
        <v>242</v>
      </c>
      <c r="T415" s="6">
        <v>739.19999999999993</v>
      </c>
      <c r="U415" t="s">
        <v>39</v>
      </c>
      <c r="V415" t="s">
        <v>1677</v>
      </c>
      <c r="W415" t="s">
        <v>1681</v>
      </c>
      <c r="X415" t="s">
        <v>1675</v>
      </c>
      <c r="Y415" t="s">
        <v>1679</v>
      </c>
      <c r="Z415" t="s">
        <v>1680</v>
      </c>
      <c r="AA415" t="s">
        <v>1295</v>
      </c>
      <c r="AB415">
        <v>136</v>
      </c>
      <c r="AC415">
        <v>9</v>
      </c>
      <c r="AE415">
        <v>166</v>
      </c>
      <c r="AH415" t="s">
        <v>41</v>
      </c>
    </row>
    <row r="416" spans="1:34" x14ac:dyDescent="0.25">
      <c r="A416">
        <v>415</v>
      </c>
      <c r="B416" s="5">
        <v>436878791</v>
      </c>
      <c r="C416" s="5">
        <v>32819944879</v>
      </c>
      <c r="D416">
        <v>6257</v>
      </c>
      <c r="E416" s="1" t="s">
        <v>1688</v>
      </c>
      <c r="F416" t="s">
        <v>1296</v>
      </c>
      <c r="G416" t="s">
        <v>1297</v>
      </c>
      <c r="H416">
        <v>34510</v>
      </c>
      <c r="I416">
        <v>45508595</v>
      </c>
      <c r="L416" s="2">
        <v>41080</v>
      </c>
      <c r="M416" s="3">
        <f t="shared" si="6"/>
        <v>2012</v>
      </c>
      <c r="N416" s="2" t="s">
        <v>28</v>
      </c>
      <c r="O416">
        <v>208</v>
      </c>
      <c r="P416" s="6">
        <v>8392</v>
      </c>
      <c r="Q416">
        <v>4196</v>
      </c>
      <c r="R416">
        <v>1678.4</v>
      </c>
      <c r="S416">
        <v>220</v>
      </c>
      <c r="T416" s="6">
        <v>698.88</v>
      </c>
      <c r="U416" t="s">
        <v>39</v>
      </c>
      <c r="V416" t="s">
        <v>1677</v>
      </c>
      <c r="W416" t="s">
        <v>1681</v>
      </c>
      <c r="X416" t="s">
        <v>1675</v>
      </c>
      <c r="Y416" t="s">
        <v>1679</v>
      </c>
      <c r="Z416" t="s">
        <v>1680</v>
      </c>
      <c r="AA416" t="s">
        <v>1298</v>
      </c>
      <c r="AB416">
        <v>47</v>
      </c>
      <c r="AC416">
        <v>12</v>
      </c>
      <c r="AE416">
        <v>132</v>
      </c>
      <c r="AH416" t="s">
        <v>41</v>
      </c>
    </row>
    <row r="417" spans="1:34" x14ac:dyDescent="0.25">
      <c r="A417">
        <v>416</v>
      </c>
      <c r="B417" s="5">
        <v>114311291</v>
      </c>
      <c r="C417" s="5">
        <v>79395837769</v>
      </c>
      <c r="D417">
        <v>1711</v>
      </c>
      <c r="E417" s="1" t="s">
        <v>1689</v>
      </c>
      <c r="F417" t="s">
        <v>1299</v>
      </c>
      <c r="G417" t="s">
        <v>1300</v>
      </c>
      <c r="H417">
        <v>33753</v>
      </c>
      <c r="I417">
        <v>34019414</v>
      </c>
      <c r="L417" s="2">
        <v>40323</v>
      </c>
      <c r="M417" s="3">
        <f t="shared" si="6"/>
        <v>2010</v>
      </c>
      <c r="N417" s="2">
        <v>41656</v>
      </c>
      <c r="O417">
        <v>168</v>
      </c>
      <c r="P417" s="6">
        <v>5646</v>
      </c>
      <c r="Q417">
        <v>2823</v>
      </c>
      <c r="R417">
        <v>1129.2</v>
      </c>
      <c r="S417">
        <v>198</v>
      </c>
      <c r="T417" s="6">
        <v>564.48</v>
      </c>
      <c r="U417" t="s">
        <v>790</v>
      </c>
      <c r="V417" t="s">
        <v>1673</v>
      </c>
      <c r="W417" t="s">
        <v>1687</v>
      </c>
      <c r="X417" t="s">
        <v>1675</v>
      </c>
      <c r="Y417" t="s">
        <v>61</v>
      </c>
      <c r="Z417" t="s">
        <v>1676</v>
      </c>
      <c r="AA417" t="s">
        <v>1301</v>
      </c>
      <c r="AB417">
        <v>122</v>
      </c>
      <c r="AC417">
        <v>42</v>
      </c>
      <c r="AE417">
        <v>190</v>
      </c>
      <c r="AH417" t="s">
        <v>98</v>
      </c>
    </row>
    <row r="418" spans="1:34" x14ac:dyDescent="0.25">
      <c r="A418">
        <v>417</v>
      </c>
      <c r="B418" s="5">
        <v>997516185</v>
      </c>
      <c r="C418" s="5">
        <v>64335743466</v>
      </c>
      <c r="D418">
        <v>2594</v>
      </c>
      <c r="E418" s="1" t="s">
        <v>1688</v>
      </c>
      <c r="F418" t="s">
        <v>1302</v>
      </c>
      <c r="G418" t="s">
        <v>1303</v>
      </c>
      <c r="H418">
        <v>35044</v>
      </c>
      <c r="I418">
        <v>37364507</v>
      </c>
      <c r="L418" s="2">
        <v>41614</v>
      </c>
      <c r="M418" s="3">
        <f t="shared" si="6"/>
        <v>2013</v>
      </c>
      <c r="N418" s="2" t="s">
        <v>28</v>
      </c>
      <c r="O418">
        <v>216</v>
      </c>
      <c r="P418" s="6">
        <v>4628</v>
      </c>
      <c r="Q418">
        <v>2314</v>
      </c>
      <c r="R418">
        <v>925.6</v>
      </c>
      <c r="S418">
        <v>220</v>
      </c>
      <c r="T418" s="6">
        <v>725.76</v>
      </c>
      <c r="U418" t="s">
        <v>51</v>
      </c>
      <c r="V418" t="s">
        <v>1682</v>
      </c>
      <c r="W418" t="s">
        <v>1674</v>
      </c>
      <c r="X418" t="s">
        <v>1683</v>
      </c>
      <c r="Y418" t="s">
        <v>1679</v>
      </c>
      <c r="Z418" t="s">
        <v>1684</v>
      </c>
      <c r="AA418" t="s">
        <v>1304</v>
      </c>
      <c r="AB418">
        <v>61</v>
      </c>
      <c r="AC418">
        <v>2</v>
      </c>
      <c r="AE418">
        <v>186</v>
      </c>
      <c r="AH418" t="s">
        <v>31</v>
      </c>
    </row>
    <row r="419" spans="1:34" x14ac:dyDescent="0.25">
      <c r="A419">
        <v>418</v>
      </c>
      <c r="B419" s="5">
        <v>952596883</v>
      </c>
      <c r="C419" s="5">
        <v>60861742158</v>
      </c>
      <c r="D419">
        <v>2107</v>
      </c>
      <c r="E419" s="1" t="s">
        <v>1688</v>
      </c>
      <c r="F419" t="s">
        <v>1305</v>
      </c>
      <c r="G419" t="s">
        <v>1306</v>
      </c>
      <c r="H419">
        <v>34363</v>
      </c>
      <c r="I419">
        <v>37406771</v>
      </c>
      <c r="L419" s="2">
        <v>40933</v>
      </c>
      <c r="M419" s="3">
        <f t="shared" si="6"/>
        <v>2012</v>
      </c>
      <c r="N419" s="2" t="s">
        <v>28</v>
      </c>
      <c r="O419">
        <v>162</v>
      </c>
      <c r="P419" s="6">
        <v>10025</v>
      </c>
      <c r="Q419">
        <v>5012.5</v>
      </c>
      <c r="R419">
        <v>2005</v>
      </c>
      <c r="S419">
        <v>308</v>
      </c>
      <c r="T419" s="6">
        <v>544.32000000000005</v>
      </c>
      <c r="U419" t="s">
        <v>164</v>
      </c>
      <c r="V419" t="s">
        <v>1677</v>
      </c>
      <c r="W419" t="s">
        <v>1674</v>
      </c>
      <c r="X419" t="s">
        <v>1675</v>
      </c>
      <c r="Y419" t="s">
        <v>1679</v>
      </c>
      <c r="Z419" t="s">
        <v>1680</v>
      </c>
      <c r="AA419" t="s">
        <v>1307</v>
      </c>
      <c r="AB419">
        <v>50</v>
      </c>
      <c r="AC419">
        <v>12</v>
      </c>
      <c r="AE419">
        <v>196</v>
      </c>
      <c r="AH419" t="s">
        <v>31</v>
      </c>
    </row>
    <row r="420" spans="1:34" x14ac:dyDescent="0.25">
      <c r="A420">
        <v>419</v>
      </c>
      <c r="B420" s="5">
        <v>618103680</v>
      </c>
      <c r="C420" s="5">
        <v>15575937682</v>
      </c>
      <c r="D420">
        <v>4016</v>
      </c>
      <c r="E420" s="1" t="s">
        <v>1688</v>
      </c>
      <c r="F420" t="s">
        <v>1308</v>
      </c>
      <c r="G420" t="s">
        <v>1309</v>
      </c>
      <c r="H420">
        <v>30817</v>
      </c>
      <c r="I420">
        <v>20017818</v>
      </c>
      <c r="L420" s="2">
        <v>37411</v>
      </c>
      <c r="M420" s="3">
        <f t="shared" si="6"/>
        <v>2002</v>
      </c>
      <c r="N420" s="2" t="s">
        <v>28</v>
      </c>
      <c r="O420">
        <v>182</v>
      </c>
      <c r="P420" s="6">
        <v>15645</v>
      </c>
      <c r="Q420">
        <v>7822.5</v>
      </c>
      <c r="R420">
        <v>3129</v>
      </c>
      <c r="S420">
        <v>198</v>
      </c>
      <c r="T420" s="6">
        <v>611.52</v>
      </c>
      <c r="U420" t="s">
        <v>172</v>
      </c>
      <c r="V420" t="s">
        <v>1686</v>
      </c>
      <c r="W420" t="s">
        <v>1674</v>
      </c>
      <c r="X420" t="s">
        <v>1683</v>
      </c>
      <c r="Y420" t="s">
        <v>1679</v>
      </c>
      <c r="Z420" t="s">
        <v>1684</v>
      </c>
      <c r="AA420" t="s">
        <v>1310</v>
      </c>
      <c r="AB420">
        <v>143</v>
      </c>
      <c r="AC420">
        <v>21</v>
      </c>
      <c r="AE420">
        <v>20</v>
      </c>
      <c r="AH420" t="s">
        <v>31</v>
      </c>
    </row>
    <row r="421" spans="1:34" x14ac:dyDescent="0.25">
      <c r="A421">
        <v>420</v>
      </c>
      <c r="B421" s="5">
        <v>309878258</v>
      </c>
      <c r="C421" s="5">
        <v>63353033207</v>
      </c>
      <c r="D421">
        <v>4685</v>
      </c>
      <c r="E421" s="1" t="s">
        <v>1688</v>
      </c>
      <c r="F421" t="s">
        <v>1311</v>
      </c>
      <c r="G421" t="s">
        <v>1312</v>
      </c>
      <c r="H421">
        <v>36307</v>
      </c>
      <c r="I421">
        <v>27708110</v>
      </c>
      <c r="L421" s="2">
        <v>42877</v>
      </c>
      <c r="M421" s="3">
        <f t="shared" si="6"/>
        <v>2017</v>
      </c>
      <c r="N421" s="2" t="s">
        <v>28</v>
      </c>
      <c r="O421">
        <v>244</v>
      </c>
      <c r="P421" s="6">
        <v>2977</v>
      </c>
      <c r="Q421">
        <v>1488.5</v>
      </c>
      <c r="R421">
        <v>595.4</v>
      </c>
      <c r="S421">
        <v>308</v>
      </c>
      <c r="T421" s="6">
        <v>819.84</v>
      </c>
      <c r="U421" t="s">
        <v>317</v>
      </c>
      <c r="V421" t="s">
        <v>1680</v>
      </c>
      <c r="W421" t="s">
        <v>1681</v>
      </c>
      <c r="X421" t="s">
        <v>1675</v>
      </c>
      <c r="Y421" t="s">
        <v>61</v>
      </c>
      <c r="Z421" t="s">
        <v>1684</v>
      </c>
      <c r="AA421" t="s">
        <v>1313</v>
      </c>
      <c r="AB421">
        <v>106</v>
      </c>
      <c r="AC421">
        <v>17</v>
      </c>
      <c r="AE421">
        <v>183</v>
      </c>
      <c r="AH421" t="s">
        <v>41</v>
      </c>
    </row>
    <row r="422" spans="1:34" x14ac:dyDescent="0.25">
      <c r="A422">
        <v>421</v>
      </c>
      <c r="B422" s="5">
        <v>592929094</v>
      </c>
      <c r="C422" s="5">
        <v>36634302419</v>
      </c>
      <c r="D422">
        <v>1584</v>
      </c>
      <c r="E422" s="1" t="s">
        <v>1689</v>
      </c>
      <c r="F422" t="s">
        <v>1314</v>
      </c>
      <c r="G422" t="s">
        <v>1315</v>
      </c>
      <c r="H422">
        <v>36507</v>
      </c>
      <c r="I422">
        <v>48931424</v>
      </c>
      <c r="L422" s="2">
        <v>43077</v>
      </c>
      <c r="M422" s="3">
        <f t="shared" si="6"/>
        <v>2017</v>
      </c>
      <c r="N422" s="2" t="s">
        <v>28</v>
      </c>
      <c r="O422">
        <v>205</v>
      </c>
      <c r="P422" s="6">
        <v>13886</v>
      </c>
      <c r="Q422">
        <v>6943</v>
      </c>
      <c r="R422">
        <v>2777.2000000000003</v>
      </c>
      <c r="S422">
        <v>220</v>
      </c>
      <c r="T422" s="6">
        <v>688.80000000000007</v>
      </c>
      <c r="U422" t="s">
        <v>68</v>
      </c>
      <c r="V422" t="s">
        <v>1686</v>
      </c>
      <c r="W422" t="s">
        <v>1681</v>
      </c>
      <c r="X422" t="s">
        <v>1683</v>
      </c>
      <c r="Y422" t="s">
        <v>1679</v>
      </c>
      <c r="Z422" t="s">
        <v>1684</v>
      </c>
      <c r="AA422" t="s">
        <v>1316</v>
      </c>
      <c r="AB422">
        <v>132</v>
      </c>
      <c r="AC422">
        <v>21</v>
      </c>
      <c r="AE422">
        <v>63</v>
      </c>
      <c r="AH422" t="s">
        <v>41</v>
      </c>
    </row>
    <row r="423" spans="1:34" x14ac:dyDescent="0.25">
      <c r="A423">
        <v>422</v>
      </c>
      <c r="B423" s="5">
        <v>360611412</v>
      </c>
      <c r="C423" s="5">
        <v>10308691803</v>
      </c>
      <c r="D423">
        <v>7762</v>
      </c>
      <c r="E423" s="1" t="s">
        <v>1689</v>
      </c>
      <c r="F423" t="s">
        <v>1317</v>
      </c>
      <c r="G423" t="s">
        <v>1318</v>
      </c>
      <c r="H423">
        <v>34339</v>
      </c>
      <c r="I423">
        <v>49865542</v>
      </c>
      <c r="L423" s="2">
        <v>40909</v>
      </c>
      <c r="M423" s="3">
        <f t="shared" si="6"/>
        <v>2012</v>
      </c>
      <c r="N423" s="2">
        <v>41500</v>
      </c>
      <c r="O423">
        <v>181</v>
      </c>
      <c r="P423" s="6">
        <v>11390</v>
      </c>
      <c r="Q423">
        <v>5695</v>
      </c>
      <c r="R423">
        <v>2278</v>
      </c>
      <c r="S423">
        <v>264</v>
      </c>
      <c r="T423" s="6">
        <v>608.16</v>
      </c>
      <c r="U423" t="s">
        <v>68</v>
      </c>
      <c r="V423" t="s">
        <v>1686</v>
      </c>
      <c r="W423" t="s">
        <v>1681</v>
      </c>
      <c r="X423" t="s">
        <v>1683</v>
      </c>
      <c r="Y423" t="s">
        <v>1679</v>
      </c>
      <c r="Z423" t="s">
        <v>1684</v>
      </c>
      <c r="AA423" t="s">
        <v>1319</v>
      </c>
      <c r="AB423">
        <v>141</v>
      </c>
      <c r="AC423">
        <v>28</v>
      </c>
      <c r="AE423">
        <v>59</v>
      </c>
      <c r="AH423" t="s">
        <v>41</v>
      </c>
    </row>
    <row r="424" spans="1:34" x14ac:dyDescent="0.25">
      <c r="A424">
        <v>423</v>
      </c>
      <c r="B424" s="5">
        <v>422950543</v>
      </c>
      <c r="C424" s="5">
        <v>40657332232</v>
      </c>
      <c r="D424">
        <v>1645</v>
      </c>
      <c r="E424" s="1" t="s">
        <v>1689</v>
      </c>
      <c r="F424" t="s">
        <v>1320</v>
      </c>
      <c r="G424" t="s">
        <v>1321</v>
      </c>
      <c r="H424">
        <v>28875</v>
      </c>
      <c r="I424">
        <v>38163321</v>
      </c>
      <c r="L424" s="2">
        <v>42483</v>
      </c>
      <c r="M424" s="3">
        <f t="shared" si="6"/>
        <v>2016</v>
      </c>
      <c r="N424" s="2">
        <v>43105</v>
      </c>
      <c r="O424">
        <v>198</v>
      </c>
      <c r="P424" s="6">
        <v>14125</v>
      </c>
      <c r="Q424">
        <v>7062.5</v>
      </c>
      <c r="R424">
        <v>2825</v>
      </c>
      <c r="S424">
        <v>220</v>
      </c>
      <c r="T424" s="6">
        <v>665.28000000000009</v>
      </c>
      <c r="U424" t="s">
        <v>157</v>
      </c>
      <c r="V424" t="s">
        <v>1682</v>
      </c>
      <c r="W424" t="s">
        <v>1687</v>
      </c>
      <c r="X424" t="s">
        <v>1683</v>
      </c>
      <c r="Y424" t="s">
        <v>1679</v>
      </c>
      <c r="Z424" t="s">
        <v>1684</v>
      </c>
      <c r="AA424" t="s">
        <v>1322</v>
      </c>
      <c r="AB424">
        <v>150</v>
      </c>
      <c r="AC424">
        <v>21</v>
      </c>
      <c r="AE424">
        <v>109</v>
      </c>
      <c r="AH424" t="s">
        <v>98</v>
      </c>
    </row>
    <row r="425" spans="1:34" x14ac:dyDescent="0.25">
      <c r="A425">
        <v>424</v>
      </c>
      <c r="B425" s="5">
        <v>909194922</v>
      </c>
      <c r="C425" s="5">
        <v>78128749092</v>
      </c>
      <c r="D425">
        <v>6066</v>
      </c>
      <c r="E425" s="1" t="s">
        <v>1689</v>
      </c>
      <c r="F425" t="s">
        <v>1323</v>
      </c>
      <c r="G425" t="s">
        <v>1324</v>
      </c>
      <c r="H425">
        <v>25886</v>
      </c>
      <c r="I425">
        <v>45044358</v>
      </c>
      <c r="L425" s="2">
        <v>34246</v>
      </c>
      <c r="M425" s="3">
        <f t="shared" si="6"/>
        <v>1993</v>
      </c>
      <c r="N425" s="2">
        <v>36632</v>
      </c>
      <c r="O425">
        <v>164</v>
      </c>
      <c r="P425" s="6">
        <v>12224</v>
      </c>
      <c r="Q425">
        <v>6112</v>
      </c>
      <c r="R425">
        <v>2444.8000000000002</v>
      </c>
      <c r="S425">
        <v>264</v>
      </c>
      <c r="T425" s="6">
        <v>551.04</v>
      </c>
      <c r="U425" t="s">
        <v>64</v>
      </c>
      <c r="V425" t="s">
        <v>1682</v>
      </c>
      <c r="W425" t="s">
        <v>1685</v>
      </c>
      <c r="X425" t="s">
        <v>1683</v>
      </c>
      <c r="Y425" t="s">
        <v>1679</v>
      </c>
      <c r="Z425" t="s">
        <v>1684</v>
      </c>
      <c r="AA425" t="s">
        <v>1325</v>
      </c>
      <c r="AB425">
        <v>150</v>
      </c>
      <c r="AC425">
        <v>55</v>
      </c>
      <c r="AE425">
        <v>198</v>
      </c>
      <c r="AH425" t="s">
        <v>57</v>
      </c>
    </row>
    <row r="426" spans="1:34" x14ac:dyDescent="0.25">
      <c r="A426">
        <v>425</v>
      </c>
      <c r="B426" s="5">
        <v>322226358</v>
      </c>
      <c r="C426" s="5">
        <v>11518619598</v>
      </c>
      <c r="D426">
        <v>6345</v>
      </c>
      <c r="E426" s="1" t="s">
        <v>1689</v>
      </c>
      <c r="F426" t="s">
        <v>1326</v>
      </c>
      <c r="G426" t="s">
        <v>1327</v>
      </c>
      <c r="H426">
        <v>30369</v>
      </c>
      <c r="I426">
        <v>49830914</v>
      </c>
      <c r="L426" s="2">
        <v>40438</v>
      </c>
      <c r="M426" s="3">
        <f t="shared" si="6"/>
        <v>2010</v>
      </c>
      <c r="N426" s="2" t="s">
        <v>28</v>
      </c>
      <c r="O426">
        <v>197</v>
      </c>
      <c r="P426" s="6">
        <v>23547</v>
      </c>
      <c r="Q426">
        <v>11773.5</v>
      </c>
      <c r="R426">
        <v>4709.4000000000005</v>
      </c>
      <c r="S426">
        <v>220</v>
      </c>
      <c r="T426" s="6">
        <v>661.92000000000007</v>
      </c>
      <c r="U426" t="s">
        <v>168</v>
      </c>
      <c r="V426" t="s">
        <v>1677</v>
      </c>
      <c r="W426" t="s">
        <v>1687</v>
      </c>
      <c r="X426" t="s">
        <v>1675</v>
      </c>
      <c r="Y426" t="s">
        <v>1679</v>
      </c>
      <c r="Z426" t="s">
        <v>1680</v>
      </c>
      <c r="AA426" t="s">
        <v>1328</v>
      </c>
      <c r="AB426">
        <v>91</v>
      </c>
      <c r="AC426">
        <v>40</v>
      </c>
      <c r="AE426">
        <v>158</v>
      </c>
      <c r="AH426" t="s">
        <v>98</v>
      </c>
    </row>
    <row r="427" spans="1:34" x14ac:dyDescent="0.25">
      <c r="A427">
        <v>426</v>
      </c>
      <c r="B427" s="5">
        <v>391636863</v>
      </c>
      <c r="C427" s="5">
        <v>61231884566</v>
      </c>
      <c r="D427">
        <v>5185</v>
      </c>
      <c r="E427" s="1" t="s">
        <v>1688</v>
      </c>
      <c r="F427" t="s">
        <v>1329</v>
      </c>
      <c r="G427" t="s">
        <v>1330</v>
      </c>
      <c r="H427">
        <v>25774</v>
      </c>
      <c r="I427">
        <v>44565049</v>
      </c>
      <c r="L427" s="2">
        <v>34938</v>
      </c>
      <c r="M427" s="3">
        <f t="shared" si="6"/>
        <v>1995</v>
      </c>
      <c r="N427" s="2" t="s">
        <v>28</v>
      </c>
      <c r="O427">
        <v>184</v>
      </c>
      <c r="P427" s="6">
        <v>21021</v>
      </c>
      <c r="Q427">
        <v>10510.5</v>
      </c>
      <c r="R427">
        <v>4204.2</v>
      </c>
      <c r="S427">
        <v>154</v>
      </c>
      <c r="T427" s="6">
        <v>618.24</v>
      </c>
      <c r="U427" t="s">
        <v>51</v>
      </c>
      <c r="V427" t="s">
        <v>1682</v>
      </c>
      <c r="W427" t="s">
        <v>1674</v>
      </c>
      <c r="X427" t="s">
        <v>1683</v>
      </c>
      <c r="Y427" t="s">
        <v>1679</v>
      </c>
      <c r="Z427" t="s">
        <v>1684</v>
      </c>
      <c r="AA427" t="s">
        <v>1331</v>
      </c>
      <c r="AB427">
        <v>64</v>
      </c>
      <c r="AC427">
        <v>50</v>
      </c>
      <c r="AE427">
        <v>62</v>
      </c>
      <c r="AF427">
        <v>874</v>
      </c>
      <c r="AH427" t="s">
        <v>31</v>
      </c>
    </row>
    <row r="428" spans="1:34" x14ac:dyDescent="0.25">
      <c r="A428">
        <v>427</v>
      </c>
      <c r="B428" s="5">
        <v>616820954</v>
      </c>
      <c r="C428" s="5">
        <v>16641348113</v>
      </c>
      <c r="D428">
        <v>4869</v>
      </c>
      <c r="E428" s="1" t="s">
        <v>1689</v>
      </c>
      <c r="F428" t="s">
        <v>1332</v>
      </c>
      <c r="G428" t="s">
        <v>1333</v>
      </c>
      <c r="H428">
        <v>27896</v>
      </c>
      <c r="I428">
        <v>43409237</v>
      </c>
      <c r="L428" s="2">
        <v>36338</v>
      </c>
      <c r="M428" s="3">
        <f t="shared" si="6"/>
        <v>1999</v>
      </c>
      <c r="N428" s="2" t="s">
        <v>28</v>
      </c>
      <c r="O428">
        <v>201</v>
      </c>
      <c r="P428" s="6">
        <v>7259</v>
      </c>
      <c r="Q428">
        <v>3629.5</v>
      </c>
      <c r="R428">
        <v>1451.8000000000002</v>
      </c>
      <c r="S428">
        <v>308</v>
      </c>
      <c r="T428" s="6">
        <v>675.36</v>
      </c>
      <c r="U428" t="s">
        <v>110</v>
      </c>
      <c r="V428" t="s">
        <v>1680</v>
      </c>
      <c r="W428" t="s">
        <v>1687</v>
      </c>
      <c r="X428" t="s">
        <v>1675</v>
      </c>
      <c r="Y428" t="s">
        <v>61</v>
      </c>
      <c r="Z428" t="s">
        <v>1676</v>
      </c>
      <c r="AA428" t="s">
        <v>1334</v>
      </c>
      <c r="AB428">
        <v>71</v>
      </c>
      <c r="AC428">
        <v>19</v>
      </c>
      <c r="AE428">
        <v>166</v>
      </c>
      <c r="AH428" t="s">
        <v>98</v>
      </c>
    </row>
    <row r="429" spans="1:34" x14ac:dyDescent="0.25">
      <c r="A429">
        <v>428</v>
      </c>
      <c r="B429" s="5">
        <v>191603777</v>
      </c>
      <c r="C429" s="5">
        <v>52851792433</v>
      </c>
      <c r="D429">
        <v>2447</v>
      </c>
      <c r="E429" s="1" t="s">
        <v>1688</v>
      </c>
      <c r="F429" t="s">
        <v>1335</v>
      </c>
      <c r="G429" t="s">
        <v>1336</v>
      </c>
      <c r="H429">
        <v>29877</v>
      </c>
      <c r="I429">
        <v>36777031</v>
      </c>
      <c r="L429" s="2">
        <v>38393</v>
      </c>
      <c r="M429" s="3">
        <f t="shared" si="6"/>
        <v>2005</v>
      </c>
      <c r="N429" s="2" t="s">
        <v>28</v>
      </c>
      <c r="O429">
        <v>232</v>
      </c>
      <c r="P429" s="6">
        <v>6630</v>
      </c>
      <c r="Q429">
        <v>3315</v>
      </c>
      <c r="R429">
        <v>1326</v>
      </c>
      <c r="S429">
        <v>220</v>
      </c>
      <c r="T429" s="6">
        <v>779.52</v>
      </c>
      <c r="U429" t="s">
        <v>164</v>
      </c>
      <c r="V429" t="s">
        <v>1677</v>
      </c>
      <c r="W429" t="s">
        <v>1674</v>
      </c>
      <c r="X429" t="s">
        <v>1675</v>
      </c>
      <c r="Y429" t="s">
        <v>1679</v>
      </c>
      <c r="Z429" t="s">
        <v>1680</v>
      </c>
      <c r="AA429" t="s">
        <v>1337</v>
      </c>
      <c r="AB429">
        <v>57</v>
      </c>
      <c r="AC429">
        <v>29</v>
      </c>
      <c r="AE429">
        <v>121</v>
      </c>
      <c r="AH429" t="s">
        <v>31</v>
      </c>
    </row>
    <row r="430" spans="1:34" x14ac:dyDescent="0.25">
      <c r="A430">
        <v>429</v>
      </c>
      <c r="B430" s="5">
        <v>714861459</v>
      </c>
      <c r="C430" s="5">
        <v>77309426336</v>
      </c>
      <c r="D430">
        <v>6435</v>
      </c>
      <c r="E430" s="1" t="s">
        <v>1689</v>
      </c>
      <c r="F430" t="s">
        <v>1338</v>
      </c>
      <c r="G430" t="s">
        <v>1339</v>
      </c>
      <c r="H430">
        <v>25712</v>
      </c>
      <c r="I430">
        <v>32020938</v>
      </c>
      <c r="L430" s="2">
        <v>33814</v>
      </c>
      <c r="M430" s="3">
        <f t="shared" si="6"/>
        <v>1992</v>
      </c>
      <c r="N430" s="2" t="s">
        <v>28</v>
      </c>
      <c r="O430">
        <v>195</v>
      </c>
      <c r="P430" s="6">
        <v>20663</v>
      </c>
      <c r="Q430">
        <v>10331.5</v>
      </c>
      <c r="R430">
        <v>4132.6000000000004</v>
      </c>
      <c r="S430">
        <v>176</v>
      </c>
      <c r="T430" s="6">
        <v>655.19999999999993</v>
      </c>
      <c r="U430" t="s">
        <v>64</v>
      </c>
      <c r="V430" t="s">
        <v>1682</v>
      </c>
      <c r="W430" t="s">
        <v>1685</v>
      </c>
      <c r="X430" t="s">
        <v>1683</v>
      </c>
      <c r="Y430" t="s">
        <v>1679</v>
      </c>
      <c r="Z430" t="s">
        <v>1684</v>
      </c>
      <c r="AA430" t="s">
        <v>1340</v>
      </c>
      <c r="AB430">
        <v>85</v>
      </c>
      <c r="AC430">
        <v>23</v>
      </c>
      <c r="AE430">
        <v>110</v>
      </c>
      <c r="AH430" t="s">
        <v>57</v>
      </c>
    </row>
    <row r="431" spans="1:34" x14ac:dyDescent="0.25">
      <c r="A431">
        <v>430</v>
      </c>
      <c r="B431" s="5">
        <v>669568164</v>
      </c>
      <c r="C431" s="5">
        <v>66996351226</v>
      </c>
      <c r="D431">
        <v>2645</v>
      </c>
      <c r="E431" s="1" t="s">
        <v>1688</v>
      </c>
      <c r="F431" t="s">
        <v>1341</v>
      </c>
      <c r="G431" t="s">
        <v>1342</v>
      </c>
      <c r="H431">
        <v>32186</v>
      </c>
      <c r="I431">
        <v>30514975</v>
      </c>
      <c r="L431" s="2">
        <v>39357</v>
      </c>
      <c r="M431" s="3">
        <f t="shared" si="6"/>
        <v>2007</v>
      </c>
      <c r="N431" s="2" t="s">
        <v>28</v>
      </c>
      <c r="O431">
        <v>234</v>
      </c>
      <c r="P431" s="6">
        <v>21594</v>
      </c>
      <c r="Q431">
        <v>10797</v>
      </c>
      <c r="R431">
        <v>4318.8</v>
      </c>
      <c r="S431">
        <v>264</v>
      </c>
      <c r="T431" s="6">
        <v>786.24</v>
      </c>
      <c r="U431" t="s">
        <v>92</v>
      </c>
      <c r="V431" t="s">
        <v>1686</v>
      </c>
      <c r="W431" t="s">
        <v>1678</v>
      </c>
      <c r="X431" t="s">
        <v>1683</v>
      </c>
      <c r="Y431" t="s">
        <v>1679</v>
      </c>
      <c r="Z431" t="s">
        <v>1684</v>
      </c>
      <c r="AA431" t="s">
        <v>1343</v>
      </c>
      <c r="AB431">
        <v>101</v>
      </c>
      <c r="AC431">
        <v>22</v>
      </c>
      <c r="AE431">
        <v>99</v>
      </c>
      <c r="AH431" t="s">
        <v>36</v>
      </c>
    </row>
    <row r="432" spans="1:34" x14ac:dyDescent="0.25">
      <c r="A432">
        <v>431</v>
      </c>
      <c r="B432" s="5">
        <v>691952759</v>
      </c>
      <c r="C432" s="5">
        <v>36902237157</v>
      </c>
      <c r="D432">
        <v>4721</v>
      </c>
      <c r="E432" s="1" t="s">
        <v>1689</v>
      </c>
      <c r="F432" t="s">
        <v>1344</v>
      </c>
      <c r="G432" t="s">
        <v>1345</v>
      </c>
      <c r="H432">
        <v>33330</v>
      </c>
      <c r="I432">
        <v>31147672</v>
      </c>
      <c r="L432" s="2">
        <v>39900</v>
      </c>
      <c r="M432" s="3">
        <f t="shared" si="6"/>
        <v>2009</v>
      </c>
      <c r="N432" s="2" t="s">
        <v>28</v>
      </c>
      <c r="O432">
        <v>198</v>
      </c>
      <c r="P432" s="6">
        <v>21631</v>
      </c>
      <c r="Q432">
        <v>10815.5</v>
      </c>
      <c r="R432">
        <v>4326.2</v>
      </c>
      <c r="S432">
        <v>154</v>
      </c>
      <c r="T432" s="6">
        <v>665.28000000000009</v>
      </c>
      <c r="U432" t="s">
        <v>164</v>
      </c>
      <c r="V432" t="s">
        <v>1677</v>
      </c>
      <c r="W432" t="s">
        <v>1674</v>
      </c>
      <c r="X432" t="s">
        <v>1675</v>
      </c>
      <c r="Y432" t="s">
        <v>1679</v>
      </c>
      <c r="Z432" t="s">
        <v>1680</v>
      </c>
      <c r="AA432" t="s">
        <v>1346</v>
      </c>
      <c r="AB432">
        <v>120</v>
      </c>
      <c r="AC432">
        <v>20</v>
      </c>
      <c r="AE432">
        <v>119</v>
      </c>
      <c r="AH432" t="s">
        <v>31</v>
      </c>
    </row>
    <row r="433" spans="1:34" x14ac:dyDescent="0.25">
      <c r="A433">
        <v>432</v>
      </c>
      <c r="B433" s="5">
        <v>874758016</v>
      </c>
      <c r="C433" s="5">
        <v>27419149327</v>
      </c>
      <c r="D433">
        <v>4041</v>
      </c>
      <c r="E433" s="1" t="s">
        <v>1688</v>
      </c>
      <c r="F433" t="s">
        <v>1347</v>
      </c>
      <c r="G433" t="s">
        <v>1348</v>
      </c>
      <c r="H433">
        <v>31186</v>
      </c>
      <c r="I433">
        <v>37415162</v>
      </c>
      <c r="L433" s="2">
        <v>38676</v>
      </c>
      <c r="M433" s="3">
        <f t="shared" si="6"/>
        <v>2005</v>
      </c>
      <c r="N433" s="2" t="s">
        <v>28</v>
      </c>
      <c r="O433">
        <v>234</v>
      </c>
      <c r="P433" s="6">
        <v>23631</v>
      </c>
      <c r="Q433">
        <v>11815.5</v>
      </c>
      <c r="R433">
        <v>4726.2</v>
      </c>
      <c r="S433">
        <v>154</v>
      </c>
      <c r="T433" s="6">
        <v>786.24</v>
      </c>
      <c r="U433" t="s">
        <v>34</v>
      </c>
      <c r="V433" t="s">
        <v>1677</v>
      </c>
      <c r="W433" t="s">
        <v>1678</v>
      </c>
      <c r="X433" t="s">
        <v>1675</v>
      </c>
      <c r="Y433" t="s">
        <v>1679</v>
      </c>
      <c r="Z433" t="s">
        <v>1680</v>
      </c>
      <c r="AA433" t="s">
        <v>1349</v>
      </c>
      <c r="AB433">
        <v>32</v>
      </c>
      <c r="AC433">
        <v>7</v>
      </c>
      <c r="AE433">
        <v>88</v>
      </c>
      <c r="AH433" t="s">
        <v>36</v>
      </c>
    </row>
    <row r="434" spans="1:34" x14ac:dyDescent="0.25">
      <c r="A434">
        <v>433</v>
      </c>
      <c r="B434" s="5">
        <v>598281457</v>
      </c>
      <c r="C434" s="5">
        <v>26631297477</v>
      </c>
      <c r="D434">
        <v>6259</v>
      </c>
      <c r="E434" s="1" t="s">
        <v>1689</v>
      </c>
      <c r="F434" t="s">
        <v>1350</v>
      </c>
      <c r="G434" t="s">
        <v>1351</v>
      </c>
      <c r="H434">
        <v>35335</v>
      </c>
      <c r="I434">
        <v>20112820</v>
      </c>
      <c r="L434" s="2">
        <v>41905</v>
      </c>
      <c r="M434" s="3">
        <f t="shared" si="6"/>
        <v>2014</v>
      </c>
      <c r="N434" s="2" t="s">
        <v>28</v>
      </c>
      <c r="O434">
        <v>219</v>
      </c>
      <c r="P434" s="6">
        <v>4103</v>
      </c>
      <c r="Q434">
        <v>2051.5</v>
      </c>
      <c r="R434">
        <v>820.6</v>
      </c>
      <c r="S434">
        <v>264</v>
      </c>
      <c r="T434" s="6">
        <v>735.84</v>
      </c>
      <c r="U434" t="s">
        <v>34</v>
      </c>
      <c r="V434" t="s">
        <v>1677</v>
      </c>
      <c r="W434" t="s">
        <v>1678</v>
      </c>
      <c r="X434" t="s">
        <v>1675</v>
      </c>
      <c r="Y434" t="s">
        <v>1679</v>
      </c>
      <c r="Z434" t="s">
        <v>1680</v>
      </c>
      <c r="AA434" t="s">
        <v>1352</v>
      </c>
      <c r="AB434">
        <v>23</v>
      </c>
      <c r="AC434">
        <v>22</v>
      </c>
      <c r="AE434">
        <v>81</v>
      </c>
      <c r="AH434" t="s">
        <v>36</v>
      </c>
    </row>
    <row r="435" spans="1:34" x14ac:dyDescent="0.25">
      <c r="A435">
        <v>434</v>
      </c>
      <c r="B435" s="5">
        <v>286770953</v>
      </c>
      <c r="C435" s="5">
        <v>37554817302</v>
      </c>
      <c r="D435">
        <v>3041</v>
      </c>
      <c r="E435" s="1" t="s">
        <v>1688</v>
      </c>
      <c r="F435" t="s">
        <v>1353</v>
      </c>
      <c r="G435" t="s">
        <v>1354</v>
      </c>
      <c r="H435">
        <v>29809</v>
      </c>
      <c r="I435">
        <v>45762254</v>
      </c>
      <c r="L435" s="2">
        <v>37596</v>
      </c>
      <c r="M435" s="3">
        <f t="shared" si="6"/>
        <v>2002</v>
      </c>
      <c r="N435" s="2" t="s">
        <v>28</v>
      </c>
      <c r="O435">
        <v>232</v>
      </c>
      <c r="P435" s="6">
        <v>20238</v>
      </c>
      <c r="Q435">
        <v>10119</v>
      </c>
      <c r="R435">
        <v>4047.6000000000004</v>
      </c>
      <c r="S435">
        <v>264</v>
      </c>
      <c r="T435" s="6">
        <v>779.52</v>
      </c>
      <c r="U435" t="s">
        <v>55</v>
      </c>
      <c r="V435" t="s">
        <v>1673</v>
      </c>
      <c r="W435" t="s">
        <v>1685</v>
      </c>
      <c r="X435" t="s">
        <v>1675</v>
      </c>
      <c r="Y435" t="s">
        <v>61</v>
      </c>
      <c r="Z435" t="s">
        <v>1676</v>
      </c>
      <c r="AA435" t="s">
        <v>1355</v>
      </c>
      <c r="AB435">
        <v>42</v>
      </c>
      <c r="AC435">
        <v>32</v>
      </c>
      <c r="AE435">
        <v>83</v>
      </c>
      <c r="AH435" t="s">
        <v>57</v>
      </c>
    </row>
    <row r="436" spans="1:34" x14ac:dyDescent="0.25">
      <c r="A436">
        <v>435</v>
      </c>
      <c r="B436" s="5">
        <v>519802938</v>
      </c>
      <c r="C436" s="5">
        <v>54654247765</v>
      </c>
      <c r="D436">
        <v>2555</v>
      </c>
      <c r="E436" s="1" t="s">
        <v>1689</v>
      </c>
      <c r="F436" t="s">
        <v>1356</v>
      </c>
      <c r="G436" t="s">
        <v>1357</v>
      </c>
      <c r="H436">
        <v>31204</v>
      </c>
      <c r="I436">
        <v>25046384</v>
      </c>
      <c r="L436" s="2">
        <v>37774</v>
      </c>
      <c r="M436" s="3">
        <f t="shared" si="6"/>
        <v>2003</v>
      </c>
      <c r="N436" s="2">
        <v>38310</v>
      </c>
      <c r="O436">
        <v>169</v>
      </c>
      <c r="P436" s="6">
        <v>16557</v>
      </c>
      <c r="Q436">
        <v>8278.5</v>
      </c>
      <c r="R436">
        <v>3311.4</v>
      </c>
      <c r="S436">
        <v>308</v>
      </c>
      <c r="T436" s="6">
        <v>567.84</v>
      </c>
      <c r="U436" t="s">
        <v>39</v>
      </c>
      <c r="V436" t="s">
        <v>1677</v>
      </c>
      <c r="W436" t="s">
        <v>1681</v>
      </c>
      <c r="X436" t="s">
        <v>1675</v>
      </c>
      <c r="Y436" t="s">
        <v>1679</v>
      </c>
      <c r="Z436" t="s">
        <v>1680</v>
      </c>
      <c r="AA436" t="s">
        <v>1358</v>
      </c>
      <c r="AB436">
        <v>139</v>
      </c>
      <c r="AC436">
        <v>32</v>
      </c>
      <c r="AE436">
        <v>17</v>
      </c>
      <c r="AH436" t="s">
        <v>41</v>
      </c>
    </row>
    <row r="437" spans="1:34" x14ac:dyDescent="0.25">
      <c r="A437">
        <v>436</v>
      </c>
      <c r="B437" s="5">
        <v>755646524</v>
      </c>
      <c r="C437" s="5">
        <v>77485239025</v>
      </c>
      <c r="D437">
        <v>3645</v>
      </c>
      <c r="E437" s="1" t="s">
        <v>1688</v>
      </c>
      <c r="F437" t="s">
        <v>1359</v>
      </c>
      <c r="G437" t="s">
        <v>1360</v>
      </c>
      <c r="H437">
        <v>26991</v>
      </c>
      <c r="I437">
        <v>47461020</v>
      </c>
      <c r="L437" s="2">
        <v>41049</v>
      </c>
      <c r="M437" s="3">
        <f t="shared" si="6"/>
        <v>2012</v>
      </c>
      <c r="N437" s="2" t="s">
        <v>28</v>
      </c>
      <c r="O437">
        <v>237</v>
      </c>
      <c r="P437" s="6">
        <v>13150</v>
      </c>
      <c r="Q437">
        <v>6575</v>
      </c>
      <c r="R437">
        <v>2630</v>
      </c>
      <c r="S437">
        <v>308</v>
      </c>
      <c r="T437" s="6">
        <v>796.32</v>
      </c>
      <c r="U437" t="s">
        <v>34</v>
      </c>
      <c r="V437" t="s">
        <v>1677</v>
      </c>
      <c r="W437" t="s">
        <v>1678</v>
      </c>
      <c r="X437" t="s">
        <v>1675</v>
      </c>
      <c r="Y437" t="s">
        <v>1679</v>
      </c>
      <c r="Z437" t="s">
        <v>1680</v>
      </c>
      <c r="AA437" t="s">
        <v>1361</v>
      </c>
      <c r="AB437">
        <v>108</v>
      </c>
      <c r="AC437">
        <v>19</v>
      </c>
      <c r="AE437">
        <v>160</v>
      </c>
      <c r="AH437" t="s">
        <v>36</v>
      </c>
    </row>
    <row r="438" spans="1:34" x14ac:dyDescent="0.25">
      <c r="A438">
        <v>437</v>
      </c>
      <c r="B438" s="5">
        <v>396843893</v>
      </c>
      <c r="C438" s="5">
        <v>22528288180</v>
      </c>
      <c r="D438">
        <v>2005</v>
      </c>
      <c r="E438" s="1" t="s">
        <v>1689</v>
      </c>
      <c r="F438" t="s">
        <v>1362</v>
      </c>
      <c r="G438" t="s">
        <v>1363</v>
      </c>
      <c r="H438">
        <v>26966</v>
      </c>
      <c r="I438">
        <v>20918639</v>
      </c>
      <c r="L438" s="2">
        <v>35638</v>
      </c>
      <c r="M438" s="3">
        <f t="shared" si="6"/>
        <v>1997</v>
      </c>
      <c r="N438" s="2" t="s">
        <v>28</v>
      </c>
      <c r="O438">
        <v>150</v>
      </c>
      <c r="P438" s="6">
        <v>11131</v>
      </c>
      <c r="Q438">
        <v>5565.5</v>
      </c>
      <c r="R438">
        <v>2226.2000000000003</v>
      </c>
      <c r="S438">
        <v>154</v>
      </c>
      <c r="T438" s="6">
        <v>504</v>
      </c>
      <c r="U438" t="s">
        <v>120</v>
      </c>
      <c r="V438" t="s">
        <v>1673</v>
      </c>
      <c r="W438" t="s">
        <v>1681</v>
      </c>
      <c r="X438" t="s">
        <v>1675</v>
      </c>
      <c r="Y438" t="s">
        <v>61</v>
      </c>
      <c r="Z438" t="s">
        <v>1676</v>
      </c>
      <c r="AA438" t="s">
        <v>1364</v>
      </c>
      <c r="AB438">
        <v>116</v>
      </c>
      <c r="AC438">
        <v>19</v>
      </c>
      <c r="AE438">
        <v>195</v>
      </c>
      <c r="AH438" t="s">
        <v>41</v>
      </c>
    </row>
    <row r="439" spans="1:34" x14ac:dyDescent="0.25">
      <c r="A439">
        <v>438</v>
      </c>
      <c r="B439" s="5">
        <v>702742466</v>
      </c>
      <c r="C439" s="5">
        <v>68945827666</v>
      </c>
      <c r="D439">
        <v>6402</v>
      </c>
      <c r="E439" s="1" t="s">
        <v>1689</v>
      </c>
      <c r="F439" t="s">
        <v>1365</v>
      </c>
      <c r="G439" t="s">
        <v>1366</v>
      </c>
      <c r="H439">
        <v>30708</v>
      </c>
      <c r="I439">
        <v>39394064</v>
      </c>
      <c r="L439" s="2">
        <v>39951</v>
      </c>
      <c r="M439" s="3">
        <f t="shared" si="6"/>
        <v>2009</v>
      </c>
      <c r="N439" s="2" t="s">
        <v>28</v>
      </c>
      <c r="O439">
        <v>208</v>
      </c>
      <c r="P439" s="6">
        <v>11639</v>
      </c>
      <c r="Q439">
        <v>5819.5</v>
      </c>
      <c r="R439">
        <v>2327.8000000000002</v>
      </c>
      <c r="S439">
        <v>198</v>
      </c>
      <c r="T439" s="6">
        <v>698.88</v>
      </c>
      <c r="U439" t="s">
        <v>110</v>
      </c>
      <c r="V439" t="s">
        <v>1680</v>
      </c>
      <c r="W439" t="s">
        <v>1687</v>
      </c>
      <c r="X439" t="s">
        <v>1675</v>
      </c>
      <c r="Y439" t="s">
        <v>61</v>
      </c>
      <c r="Z439" t="s">
        <v>1676</v>
      </c>
      <c r="AA439" t="s">
        <v>1367</v>
      </c>
      <c r="AB439">
        <v>80</v>
      </c>
      <c r="AC439">
        <v>15</v>
      </c>
      <c r="AE439">
        <v>25</v>
      </c>
      <c r="AH439" t="s">
        <v>98</v>
      </c>
    </row>
    <row r="440" spans="1:34" x14ac:dyDescent="0.25">
      <c r="A440">
        <v>439</v>
      </c>
      <c r="B440" s="5">
        <v>731647816</v>
      </c>
      <c r="C440" s="5">
        <v>27408718127</v>
      </c>
      <c r="D440">
        <v>4771</v>
      </c>
      <c r="E440" s="1" t="s">
        <v>1689</v>
      </c>
      <c r="F440" t="s">
        <v>1368</v>
      </c>
      <c r="G440" t="s">
        <v>1369</v>
      </c>
      <c r="H440">
        <v>30764</v>
      </c>
      <c r="I440">
        <v>23490923</v>
      </c>
      <c r="L440" s="2">
        <v>43040</v>
      </c>
      <c r="M440" s="3">
        <f t="shared" si="6"/>
        <v>2017</v>
      </c>
      <c r="N440" s="2" t="s">
        <v>28</v>
      </c>
      <c r="O440">
        <v>215</v>
      </c>
      <c r="P440" s="6">
        <v>15856</v>
      </c>
      <c r="Q440">
        <v>7928</v>
      </c>
      <c r="R440">
        <v>3171.2000000000003</v>
      </c>
      <c r="S440">
        <v>198</v>
      </c>
      <c r="T440" s="6">
        <v>722.4</v>
      </c>
      <c r="U440" t="s">
        <v>140</v>
      </c>
      <c r="V440" t="s">
        <v>1682</v>
      </c>
      <c r="W440" t="s">
        <v>1678</v>
      </c>
      <c r="X440" t="s">
        <v>1683</v>
      </c>
      <c r="Y440" t="s">
        <v>1679</v>
      </c>
      <c r="Z440" t="s">
        <v>1684</v>
      </c>
      <c r="AA440" t="s">
        <v>1370</v>
      </c>
      <c r="AB440">
        <v>137</v>
      </c>
      <c r="AC440">
        <v>33</v>
      </c>
      <c r="AE440">
        <v>55</v>
      </c>
      <c r="AH440" t="s">
        <v>36</v>
      </c>
    </row>
    <row r="441" spans="1:34" x14ac:dyDescent="0.25">
      <c r="A441">
        <v>440</v>
      </c>
      <c r="B441" s="5">
        <v>333794194</v>
      </c>
      <c r="C441" s="5">
        <v>43305491711</v>
      </c>
      <c r="D441">
        <v>7677</v>
      </c>
      <c r="E441" s="1" t="s">
        <v>1689</v>
      </c>
      <c r="F441" t="s">
        <v>1371</v>
      </c>
      <c r="G441" t="s">
        <v>1372</v>
      </c>
      <c r="H441">
        <v>28509</v>
      </c>
      <c r="I441">
        <v>23496953</v>
      </c>
      <c r="L441" s="2">
        <v>42614</v>
      </c>
      <c r="M441" s="3">
        <f t="shared" si="6"/>
        <v>2016</v>
      </c>
      <c r="N441" s="2">
        <v>43105</v>
      </c>
      <c r="O441">
        <v>223</v>
      </c>
      <c r="P441" s="6">
        <v>20416</v>
      </c>
      <c r="Q441">
        <v>10208</v>
      </c>
      <c r="R441">
        <v>4083.2000000000003</v>
      </c>
      <c r="S441">
        <v>264</v>
      </c>
      <c r="T441" s="6">
        <v>749.28000000000009</v>
      </c>
      <c r="U441" t="s">
        <v>140</v>
      </c>
      <c r="V441" t="s">
        <v>1682</v>
      </c>
      <c r="W441" t="s">
        <v>1678</v>
      </c>
      <c r="X441" t="s">
        <v>1683</v>
      </c>
      <c r="Y441" t="s">
        <v>1679</v>
      </c>
      <c r="Z441" t="s">
        <v>1684</v>
      </c>
      <c r="AA441" t="s">
        <v>1373</v>
      </c>
      <c r="AB441">
        <v>91</v>
      </c>
      <c r="AC441">
        <v>19</v>
      </c>
      <c r="AE441">
        <v>82</v>
      </c>
      <c r="AH441" t="s">
        <v>36</v>
      </c>
    </row>
    <row r="442" spans="1:34" x14ac:dyDescent="0.25">
      <c r="A442">
        <v>441</v>
      </c>
      <c r="B442" s="5">
        <v>478295074</v>
      </c>
      <c r="C442" s="5">
        <v>83146152609</v>
      </c>
      <c r="D442">
        <v>1845</v>
      </c>
      <c r="E442" s="1" t="s">
        <v>1688</v>
      </c>
      <c r="F442" t="s">
        <v>1374</v>
      </c>
      <c r="G442" t="s">
        <v>1375</v>
      </c>
      <c r="H442">
        <v>27199</v>
      </c>
      <c r="I442">
        <v>32784975</v>
      </c>
      <c r="L442" s="2">
        <v>38953</v>
      </c>
      <c r="M442" s="3">
        <f t="shared" si="6"/>
        <v>2006</v>
      </c>
      <c r="N442" s="2" t="s">
        <v>28</v>
      </c>
      <c r="O442">
        <v>194</v>
      </c>
      <c r="P442" s="6">
        <v>16508</v>
      </c>
      <c r="Q442">
        <v>8254</v>
      </c>
      <c r="R442">
        <v>3301.6000000000004</v>
      </c>
      <c r="S442">
        <v>264</v>
      </c>
      <c r="T442" s="6">
        <v>651.84</v>
      </c>
      <c r="U442" t="s">
        <v>64</v>
      </c>
      <c r="V442" t="s">
        <v>1682</v>
      </c>
      <c r="W442" t="s">
        <v>1685</v>
      </c>
      <c r="X442" t="s">
        <v>1683</v>
      </c>
      <c r="Y442" t="s">
        <v>1679</v>
      </c>
      <c r="Z442" t="s">
        <v>1684</v>
      </c>
      <c r="AA442" t="s">
        <v>1376</v>
      </c>
      <c r="AB442">
        <v>75</v>
      </c>
      <c r="AC442">
        <v>42</v>
      </c>
      <c r="AE442">
        <v>34</v>
      </c>
      <c r="AH442" t="s">
        <v>57</v>
      </c>
    </row>
    <row r="443" spans="1:34" x14ac:dyDescent="0.25">
      <c r="A443">
        <v>442</v>
      </c>
      <c r="B443" s="5">
        <v>391205085</v>
      </c>
      <c r="C443" s="5">
        <v>22006784371</v>
      </c>
      <c r="D443">
        <v>7832</v>
      </c>
      <c r="E443" s="1" t="s">
        <v>1689</v>
      </c>
      <c r="F443" t="s">
        <v>1377</v>
      </c>
      <c r="G443" t="s">
        <v>1378</v>
      </c>
      <c r="H443">
        <v>29513</v>
      </c>
      <c r="I443">
        <v>36879301</v>
      </c>
      <c r="L443" s="2">
        <v>39826</v>
      </c>
      <c r="M443" s="3">
        <f t="shared" si="6"/>
        <v>2009</v>
      </c>
      <c r="N443" s="2" t="s">
        <v>28</v>
      </c>
      <c r="O443">
        <v>205</v>
      </c>
      <c r="P443" s="6">
        <v>8805</v>
      </c>
      <c r="Q443">
        <v>4402.5</v>
      </c>
      <c r="R443">
        <v>1761</v>
      </c>
      <c r="S443">
        <v>176</v>
      </c>
      <c r="T443" s="6">
        <v>688.80000000000007</v>
      </c>
      <c r="U443" t="s">
        <v>157</v>
      </c>
      <c r="V443" t="s">
        <v>1682</v>
      </c>
      <c r="W443" t="s">
        <v>1687</v>
      </c>
      <c r="X443" t="s">
        <v>1683</v>
      </c>
      <c r="Y443" t="s">
        <v>1679</v>
      </c>
      <c r="Z443" t="s">
        <v>1684</v>
      </c>
      <c r="AA443" t="s">
        <v>1379</v>
      </c>
      <c r="AB443">
        <v>139</v>
      </c>
      <c r="AC443">
        <v>32</v>
      </c>
      <c r="AE443">
        <v>1</v>
      </c>
      <c r="AH443" t="s">
        <v>98</v>
      </c>
    </row>
    <row r="444" spans="1:34" x14ac:dyDescent="0.25">
      <c r="A444">
        <v>443</v>
      </c>
      <c r="B444" s="5">
        <v>196530929</v>
      </c>
      <c r="C444" s="5">
        <v>41409729521</v>
      </c>
      <c r="D444">
        <v>4870</v>
      </c>
      <c r="E444" s="1" t="s">
        <v>1688</v>
      </c>
      <c r="F444" t="s">
        <v>1380</v>
      </c>
      <c r="G444" t="s">
        <v>1381</v>
      </c>
      <c r="H444">
        <v>28700</v>
      </c>
      <c r="I444">
        <v>31627126</v>
      </c>
      <c r="L444" s="2">
        <v>37131</v>
      </c>
      <c r="M444" s="3">
        <f t="shared" si="6"/>
        <v>2001</v>
      </c>
      <c r="N444" s="2" t="s">
        <v>28</v>
      </c>
      <c r="O444">
        <v>205</v>
      </c>
      <c r="P444" s="6">
        <v>14552</v>
      </c>
      <c r="Q444">
        <v>7276</v>
      </c>
      <c r="R444">
        <v>2910.4</v>
      </c>
      <c r="S444">
        <v>220</v>
      </c>
      <c r="T444" s="6">
        <v>688.80000000000007</v>
      </c>
      <c r="U444" t="s">
        <v>34</v>
      </c>
      <c r="V444" t="s">
        <v>1677</v>
      </c>
      <c r="W444" t="s">
        <v>1678</v>
      </c>
      <c r="X444" t="s">
        <v>1675</v>
      </c>
      <c r="Y444" t="s">
        <v>1679</v>
      </c>
      <c r="Z444" t="s">
        <v>1680</v>
      </c>
      <c r="AA444" t="s">
        <v>1382</v>
      </c>
      <c r="AB444">
        <v>105</v>
      </c>
      <c r="AC444">
        <v>7</v>
      </c>
      <c r="AE444">
        <v>2</v>
      </c>
      <c r="AH444" t="s">
        <v>36</v>
      </c>
    </row>
    <row r="445" spans="1:34" x14ac:dyDescent="0.25">
      <c r="A445">
        <v>444</v>
      </c>
      <c r="B445" s="5">
        <v>375471204</v>
      </c>
      <c r="C445" s="5">
        <v>13096973006</v>
      </c>
      <c r="D445">
        <v>1932</v>
      </c>
      <c r="E445" s="1" t="s">
        <v>1689</v>
      </c>
      <c r="F445" t="s">
        <v>1383</v>
      </c>
      <c r="G445" t="s">
        <v>1384</v>
      </c>
      <c r="H445">
        <v>31986</v>
      </c>
      <c r="I445">
        <v>42253271</v>
      </c>
      <c r="L445" s="2">
        <v>40613</v>
      </c>
      <c r="M445" s="3">
        <f t="shared" si="6"/>
        <v>2011</v>
      </c>
      <c r="N445" s="2" t="s">
        <v>28</v>
      </c>
      <c r="O445">
        <v>170</v>
      </c>
      <c r="P445" s="6">
        <v>10253</v>
      </c>
      <c r="Q445">
        <v>5126.5</v>
      </c>
      <c r="R445">
        <v>2050.6</v>
      </c>
      <c r="S445">
        <v>242</v>
      </c>
      <c r="T445" s="6">
        <v>571.19999999999993</v>
      </c>
      <c r="U445" t="s">
        <v>164</v>
      </c>
      <c r="V445" t="s">
        <v>1677</v>
      </c>
      <c r="W445" t="s">
        <v>1674</v>
      </c>
      <c r="X445" t="s">
        <v>1675</v>
      </c>
      <c r="Y445" t="s">
        <v>1679</v>
      </c>
      <c r="Z445" t="s">
        <v>1680</v>
      </c>
      <c r="AA445" t="s">
        <v>1385</v>
      </c>
      <c r="AB445">
        <v>127</v>
      </c>
      <c r="AC445">
        <v>13</v>
      </c>
      <c r="AE445">
        <v>131</v>
      </c>
      <c r="AH445" t="s">
        <v>31</v>
      </c>
    </row>
    <row r="446" spans="1:34" x14ac:dyDescent="0.25">
      <c r="A446">
        <v>445</v>
      </c>
      <c r="B446" s="5">
        <v>523811793</v>
      </c>
      <c r="C446" s="5">
        <v>45219360780</v>
      </c>
      <c r="D446">
        <v>2064</v>
      </c>
      <c r="E446" s="1" t="s">
        <v>1688</v>
      </c>
      <c r="F446" t="s">
        <v>1386</v>
      </c>
      <c r="G446" t="s">
        <v>1387</v>
      </c>
      <c r="H446">
        <v>25900</v>
      </c>
      <c r="I446">
        <v>47466865</v>
      </c>
      <c r="L446" s="2">
        <v>37269</v>
      </c>
      <c r="M446" s="3">
        <f t="shared" si="6"/>
        <v>2002</v>
      </c>
      <c r="N446" s="2" t="s">
        <v>28</v>
      </c>
      <c r="O446">
        <v>218</v>
      </c>
      <c r="P446" s="6">
        <v>7221</v>
      </c>
      <c r="Q446">
        <v>3610.5</v>
      </c>
      <c r="R446">
        <v>1444.2</v>
      </c>
      <c r="S446">
        <v>176</v>
      </c>
      <c r="T446" s="6">
        <v>732.48</v>
      </c>
      <c r="U446" t="s">
        <v>168</v>
      </c>
      <c r="V446" t="s">
        <v>1677</v>
      </c>
      <c r="W446" t="s">
        <v>1687</v>
      </c>
      <c r="X446" t="s">
        <v>1675</v>
      </c>
      <c r="Y446" t="s">
        <v>1679</v>
      </c>
      <c r="Z446" t="s">
        <v>1680</v>
      </c>
      <c r="AA446" t="s">
        <v>1388</v>
      </c>
      <c r="AB446">
        <v>80</v>
      </c>
      <c r="AC446">
        <v>15</v>
      </c>
      <c r="AE446">
        <v>17</v>
      </c>
      <c r="AH446" t="s">
        <v>98</v>
      </c>
    </row>
    <row r="447" spans="1:34" x14ac:dyDescent="0.25">
      <c r="A447">
        <v>446</v>
      </c>
      <c r="B447" s="5">
        <v>468526654</v>
      </c>
      <c r="C447" s="5">
        <v>53415907150</v>
      </c>
      <c r="D447">
        <v>2471</v>
      </c>
      <c r="E447" s="1" t="s">
        <v>1688</v>
      </c>
      <c r="F447" t="s">
        <v>1389</v>
      </c>
      <c r="G447" t="s">
        <v>1390</v>
      </c>
      <c r="H447">
        <v>34088</v>
      </c>
      <c r="I447">
        <v>21072333</v>
      </c>
      <c r="L447" s="2">
        <v>40658</v>
      </c>
      <c r="M447" s="3">
        <f t="shared" si="6"/>
        <v>2011</v>
      </c>
      <c r="N447" s="2" t="s">
        <v>28</v>
      </c>
      <c r="O447">
        <v>165</v>
      </c>
      <c r="P447" s="6">
        <v>3216</v>
      </c>
      <c r="Q447">
        <v>1608</v>
      </c>
      <c r="R447">
        <v>643.20000000000005</v>
      </c>
      <c r="S447">
        <v>154</v>
      </c>
      <c r="T447" s="6">
        <v>554.4</v>
      </c>
      <c r="U447" t="s">
        <v>68</v>
      </c>
      <c r="V447" t="s">
        <v>1686</v>
      </c>
      <c r="W447" t="s">
        <v>1681</v>
      </c>
      <c r="X447" t="s">
        <v>1683</v>
      </c>
      <c r="Y447" t="s">
        <v>1679</v>
      </c>
      <c r="Z447" t="s">
        <v>1684</v>
      </c>
      <c r="AA447" t="s">
        <v>1391</v>
      </c>
      <c r="AB447">
        <v>27</v>
      </c>
      <c r="AC447">
        <v>47</v>
      </c>
      <c r="AE447">
        <v>101</v>
      </c>
      <c r="AH447" t="s">
        <v>41</v>
      </c>
    </row>
    <row r="448" spans="1:34" x14ac:dyDescent="0.25">
      <c r="A448">
        <v>447</v>
      </c>
      <c r="B448" s="5">
        <v>932206409</v>
      </c>
      <c r="C448" s="3">
        <v>2539417347</v>
      </c>
      <c r="D448">
        <v>3044</v>
      </c>
      <c r="E448" s="1" t="s">
        <v>1688</v>
      </c>
      <c r="F448" t="s">
        <v>1392</v>
      </c>
      <c r="G448" t="s">
        <v>1393</v>
      </c>
      <c r="H448">
        <v>30646</v>
      </c>
      <c r="I448">
        <v>43221338</v>
      </c>
      <c r="L448" s="2">
        <v>38292</v>
      </c>
      <c r="M448" s="3">
        <f t="shared" si="6"/>
        <v>2004</v>
      </c>
      <c r="N448" s="2" t="s">
        <v>28</v>
      </c>
      <c r="O448">
        <v>237</v>
      </c>
      <c r="P448" s="6">
        <v>7077</v>
      </c>
      <c r="Q448">
        <v>3538.5</v>
      </c>
      <c r="R448">
        <v>1415.4</v>
      </c>
      <c r="S448">
        <v>286</v>
      </c>
      <c r="T448" s="6">
        <v>796.32</v>
      </c>
      <c r="U448" t="s">
        <v>51</v>
      </c>
      <c r="V448" t="s">
        <v>1682</v>
      </c>
      <c r="W448" t="s">
        <v>1674</v>
      </c>
      <c r="X448" t="s">
        <v>1683</v>
      </c>
      <c r="Y448" t="s">
        <v>1679</v>
      </c>
      <c r="Z448" t="s">
        <v>1684</v>
      </c>
      <c r="AA448" t="s">
        <v>1394</v>
      </c>
      <c r="AB448">
        <v>86</v>
      </c>
      <c r="AC448">
        <v>57</v>
      </c>
      <c r="AE448">
        <v>134</v>
      </c>
      <c r="AH448" t="s">
        <v>31</v>
      </c>
    </row>
    <row r="449" spans="1:34" x14ac:dyDescent="0.25">
      <c r="A449">
        <v>448</v>
      </c>
      <c r="B449" s="5">
        <v>227570096</v>
      </c>
      <c r="C449" s="5">
        <v>86146951688</v>
      </c>
      <c r="D449">
        <v>1586</v>
      </c>
      <c r="E449" s="1" t="s">
        <v>1689</v>
      </c>
      <c r="F449" t="s">
        <v>1395</v>
      </c>
      <c r="G449" t="s">
        <v>1396</v>
      </c>
      <c r="H449">
        <v>27693</v>
      </c>
      <c r="I449">
        <v>25702440</v>
      </c>
      <c r="L449" s="2">
        <v>41138</v>
      </c>
      <c r="M449" s="3">
        <f t="shared" si="6"/>
        <v>2012</v>
      </c>
      <c r="N449" s="2" t="s">
        <v>28</v>
      </c>
      <c r="O449">
        <v>186</v>
      </c>
      <c r="P449" s="6">
        <v>18381</v>
      </c>
      <c r="Q449">
        <v>9190.5</v>
      </c>
      <c r="R449">
        <v>3676.2000000000003</v>
      </c>
      <c r="S449">
        <v>286</v>
      </c>
      <c r="T449" s="6">
        <v>624.96</v>
      </c>
      <c r="U449" t="s">
        <v>78</v>
      </c>
      <c r="V449" t="s">
        <v>1680</v>
      </c>
      <c r="W449" t="s">
        <v>1678</v>
      </c>
      <c r="X449" t="s">
        <v>1675</v>
      </c>
      <c r="Y449" t="s">
        <v>61</v>
      </c>
      <c r="Z449" t="s">
        <v>1676</v>
      </c>
      <c r="AA449" t="s">
        <v>1397</v>
      </c>
      <c r="AB449">
        <v>64</v>
      </c>
      <c r="AC449">
        <v>11</v>
      </c>
      <c r="AE449">
        <v>28</v>
      </c>
      <c r="AH449" t="s">
        <v>36</v>
      </c>
    </row>
    <row r="450" spans="1:34" x14ac:dyDescent="0.25">
      <c r="A450">
        <v>449</v>
      </c>
      <c r="B450" s="5">
        <v>175436664</v>
      </c>
      <c r="C450" s="5">
        <v>30741245211</v>
      </c>
      <c r="D450">
        <v>3932</v>
      </c>
      <c r="E450" s="1" t="s">
        <v>1689</v>
      </c>
      <c r="F450" t="s">
        <v>1398</v>
      </c>
      <c r="G450" t="s">
        <v>1399</v>
      </c>
      <c r="H450">
        <v>32830</v>
      </c>
      <c r="I450">
        <v>26079033</v>
      </c>
      <c r="L450" s="2">
        <v>41279</v>
      </c>
      <c r="M450" s="3">
        <f t="shared" si="6"/>
        <v>2013</v>
      </c>
      <c r="N450" s="2" t="s">
        <v>28</v>
      </c>
      <c r="O450">
        <v>160</v>
      </c>
      <c r="P450" s="6">
        <v>14823</v>
      </c>
      <c r="Q450">
        <v>7411.5</v>
      </c>
      <c r="R450">
        <v>2964.6000000000004</v>
      </c>
      <c r="S450">
        <v>198</v>
      </c>
      <c r="T450" s="6">
        <v>537.6</v>
      </c>
      <c r="U450" t="s">
        <v>127</v>
      </c>
      <c r="V450" t="s">
        <v>1686</v>
      </c>
      <c r="W450" t="s">
        <v>1685</v>
      </c>
      <c r="X450" t="s">
        <v>1683</v>
      </c>
      <c r="Y450" t="s">
        <v>1679</v>
      </c>
      <c r="Z450" t="s">
        <v>1684</v>
      </c>
      <c r="AA450" t="s">
        <v>1400</v>
      </c>
      <c r="AB450">
        <v>132</v>
      </c>
      <c r="AC450">
        <v>7</v>
      </c>
      <c r="AE450">
        <v>122</v>
      </c>
      <c r="AH450" t="s">
        <v>57</v>
      </c>
    </row>
    <row r="451" spans="1:34" x14ac:dyDescent="0.25">
      <c r="A451">
        <v>450</v>
      </c>
      <c r="B451" s="5">
        <v>628618873</v>
      </c>
      <c r="C451" s="5">
        <v>73828899456</v>
      </c>
      <c r="D451">
        <v>3178</v>
      </c>
      <c r="E451" s="1" t="s">
        <v>1688</v>
      </c>
      <c r="F451" t="s">
        <v>1401</v>
      </c>
      <c r="G451" t="s">
        <v>1402</v>
      </c>
      <c r="H451">
        <v>33942</v>
      </c>
      <c r="I451">
        <v>44096523</v>
      </c>
      <c r="L451" s="2">
        <v>42162</v>
      </c>
      <c r="M451" s="3">
        <f t="shared" ref="M451:M514" si="7">YEAR(L451)</f>
        <v>2015</v>
      </c>
      <c r="N451" s="2" t="s">
        <v>28</v>
      </c>
      <c r="O451">
        <v>163</v>
      </c>
      <c r="P451" s="6">
        <v>21021</v>
      </c>
      <c r="Q451">
        <v>10510.5</v>
      </c>
      <c r="R451">
        <v>4204.2</v>
      </c>
      <c r="S451">
        <v>242</v>
      </c>
      <c r="T451" s="6">
        <v>547.67999999999995</v>
      </c>
      <c r="U451" t="s">
        <v>790</v>
      </c>
      <c r="V451" t="s">
        <v>1673</v>
      </c>
      <c r="W451" t="s">
        <v>1687</v>
      </c>
      <c r="X451" t="s">
        <v>1675</v>
      </c>
      <c r="Y451" t="s">
        <v>61</v>
      </c>
      <c r="Z451" t="s">
        <v>1676</v>
      </c>
      <c r="AA451" t="s">
        <v>1403</v>
      </c>
      <c r="AB451">
        <v>114</v>
      </c>
      <c r="AC451">
        <v>31</v>
      </c>
      <c r="AE451">
        <v>36</v>
      </c>
      <c r="AH451" t="s">
        <v>98</v>
      </c>
    </row>
    <row r="452" spans="1:34" x14ac:dyDescent="0.25">
      <c r="A452">
        <v>451</v>
      </c>
      <c r="B452" s="5">
        <v>276720307</v>
      </c>
      <c r="C452" s="3">
        <v>803438417</v>
      </c>
      <c r="D452">
        <v>2023</v>
      </c>
      <c r="E452" s="1" t="s">
        <v>1688</v>
      </c>
      <c r="F452" t="s">
        <v>1404</v>
      </c>
      <c r="G452" t="s">
        <v>1405</v>
      </c>
      <c r="H452">
        <v>35291</v>
      </c>
      <c r="I452">
        <v>22003422</v>
      </c>
      <c r="L452" s="2">
        <v>41861</v>
      </c>
      <c r="M452" s="3">
        <f t="shared" si="7"/>
        <v>2014</v>
      </c>
      <c r="N452" s="2" t="s">
        <v>28</v>
      </c>
      <c r="O452">
        <v>199</v>
      </c>
      <c r="P452" s="6">
        <v>15224</v>
      </c>
      <c r="Q452">
        <v>7612</v>
      </c>
      <c r="R452">
        <v>3044.8</v>
      </c>
      <c r="S452">
        <v>242</v>
      </c>
      <c r="T452" s="6">
        <v>668.64</v>
      </c>
      <c r="U452" t="s">
        <v>44</v>
      </c>
      <c r="V452" t="s">
        <v>1682</v>
      </c>
      <c r="W452" t="s">
        <v>1681</v>
      </c>
      <c r="X452" t="s">
        <v>1683</v>
      </c>
      <c r="Y452" t="s">
        <v>1679</v>
      </c>
      <c r="Z452" t="s">
        <v>1684</v>
      </c>
      <c r="AA452" t="s">
        <v>1406</v>
      </c>
      <c r="AB452">
        <v>105</v>
      </c>
      <c r="AC452">
        <v>32</v>
      </c>
      <c r="AE452">
        <v>84</v>
      </c>
      <c r="AH452" t="s">
        <v>41</v>
      </c>
    </row>
    <row r="453" spans="1:34" x14ac:dyDescent="0.25">
      <c r="A453">
        <v>452</v>
      </c>
      <c r="B453" s="5">
        <v>949924183</v>
      </c>
      <c r="C453" s="5">
        <v>66845644745</v>
      </c>
      <c r="D453">
        <v>2223</v>
      </c>
      <c r="E453" s="1" t="s">
        <v>1688</v>
      </c>
      <c r="F453" t="s">
        <v>1407</v>
      </c>
      <c r="G453" t="s">
        <v>1408</v>
      </c>
      <c r="H453">
        <v>25984</v>
      </c>
      <c r="I453">
        <v>33615783</v>
      </c>
      <c r="L453" s="2">
        <v>39622</v>
      </c>
      <c r="M453" s="3">
        <f t="shared" si="7"/>
        <v>2008</v>
      </c>
      <c r="N453" s="2" t="s">
        <v>28</v>
      </c>
      <c r="O453">
        <v>162</v>
      </c>
      <c r="P453" s="6">
        <v>15265</v>
      </c>
      <c r="Q453">
        <v>7632.5</v>
      </c>
      <c r="R453">
        <v>3053</v>
      </c>
      <c r="S453">
        <v>264</v>
      </c>
      <c r="T453" s="6">
        <v>544.32000000000005</v>
      </c>
      <c r="U453" t="s">
        <v>64</v>
      </c>
      <c r="V453" t="s">
        <v>1682</v>
      </c>
      <c r="W453" t="s">
        <v>1685</v>
      </c>
      <c r="X453" t="s">
        <v>1683</v>
      </c>
      <c r="Y453" t="s">
        <v>1679</v>
      </c>
      <c r="Z453" t="s">
        <v>1684</v>
      </c>
      <c r="AA453" t="s">
        <v>1409</v>
      </c>
      <c r="AB453">
        <v>135</v>
      </c>
      <c r="AC453">
        <v>37</v>
      </c>
      <c r="AE453">
        <v>30</v>
      </c>
      <c r="AH453" t="s">
        <v>57</v>
      </c>
    </row>
    <row r="454" spans="1:34" x14ac:dyDescent="0.25">
      <c r="A454">
        <v>453</v>
      </c>
      <c r="B454" s="5">
        <v>511719360</v>
      </c>
      <c r="C454" s="5">
        <v>90081572624</v>
      </c>
      <c r="D454">
        <v>4750</v>
      </c>
      <c r="E454" s="1" t="s">
        <v>1689</v>
      </c>
      <c r="F454" t="s">
        <v>1410</v>
      </c>
      <c r="G454" t="s">
        <v>1411</v>
      </c>
      <c r="H454">
        <v>35670</v>
      </c>
      <c r="I454">
        <v>30159766</v>
      </c>
      <c r="L454" s="2">
        <v>42240</v>
      </c>
      <c r="M454" s="3">
        <f t="shared" si="7"/>
        <v>2015</v>
      </c>
      <c r="N454" s="2" t="s">
        <v>28</v>
      </c>
      <c r="O454">
        <v>150</v>
      </c>
      <c r="P454" s="6">
        <v>2506</v>
      </c>
      <c r="Q454">
        <v>1253</v>
      </c>
      <c r="R454">
        <v>501.20000000000005</v>
      </c>
      <c r="S454">
        <v>220</v>
      </c>
      <c r="T454" s="6">
        <v>504</v>
      </c>
      <c r="U454" t="s">
        <v>168</v>
      </c>
      <c r="V454" t="s">
        <v>1677</v>
      </c>
      <c r="W454" t="s">
        <v>1687</v>
      </c>
      <c r="X454" t="s">
        <v>1675</v>
      </c>
      <c r="Y454" t="s">
        <v>1679</v>
      </c>
      <c r="Z454" t="s">
        <v>1680</v>
      </c>
      <c r="AA454" t="s">
        <v>1412</v>
      </c>
      <c r="AB454">
        <v>83</v>
      </c>
      <c r="AC454">
        <v>14</v>
      </c>
      <c r="AE454">
        <v>183</v>
      </c>
      <c r="AH454" t="s">
        <v>98</v>
      </c>
    </row>
    <row r="455" spans="1:34" x14ac:dyDescent="0.25">
      <c r="A455">
        <v>454</v>
      </c>
      <c r="B455" s="5">
        <v>351409608</v>
      </c>
      <c r="C455" s="5">
        <v>51501221540</v>
      </c>
      <c r="D455">
        <v>3836</v>
      </c>
      <c r="E455" s="1" t="s">
        <v>1688</v>
      </c>
      <c r="F455" t="s">
        <v>1413</v>
      </c>
      <c r="G455" t="s">
        <v>1414</v>
      </c>
      <c r="H455">
        <v>33242</v>
      </c>
      <c r="I455">
        <v>32850102</v>
      </c>
      <c r="L455" s="2">
        <v>39812</v>
      </c>
      <c r="M455" s="3">
        <f t="shared" si="7"/>
        <v>2008</v>
      </c>
      <c r="N455" s="2" t="s">
        <v>28</v>
      </c>
      <c r="O455">
        <v>224</v>
      </c>
      <c r="P455" s="6">
        <v>20918</v>
      </c>
      <c r="Q455">
        <v>10459</v>
      </c>
      <c r="R455">
        <v>4183.6000000000004</v>
      </c>
      <c r="S455">
        <v>198</v>
      </c>
      <c r="T455" s="6">
        <v>752.64</v>
      </c>
      <c r="U455" t="s">
        <v>82</v>
      </c>
      <c r="V455" t="s">
        <v>1677</v>
      </c>
      <c r="W455" t="s">
        <v>1685</v>
      </c>
      <c r="X455" t="s">
        <v>1675</v>
      </c>
      <c r="Y455" t="s">
        <v>1679</v>
      </c>
      <c r="Z455" t="s">
        <v>1680</v>
      </c>
      <c r="AA455" t="s">
        <v>1415</v>
      </c>
      <c r="AB455">
        <v>100</v>
      </c>
      <c r="AC455">
        <v>18</v>
      </c>
      <c r="AE455">
        <v>95</v>
      </c>
      <c r="AH455" t="s">
        <v>57</v>
      </c>
    </row>
    <row r="456" spans="1:34" x14ac:dyDescent="0.25">
      <c r="A456">
        <v>455</v>
      </c>
      <c r="B456" s="5">
        <v>266690330</v>
      </c>
      <c r="C456" s="5">
        <v>49595413705</v>
      </c>
      <c r="D456">
        <v>1318</v>
      </c>
      <c r="E456" s="1" t="s">
        <v>1689</v>
      </c>
      <c r="F456" t="s">
        <v>1416</v>
      </c>
      <c r="G456" t="s">
        <v>1417</v>
      </c>
      <c r="H456">
        <v>32281</v>
      </c>
      <c r="I456">
        <v>21386237</v>
      </c>
      <c r="L456" s="2">
        <v>41674</v>
      </c>
      <c r="M456" s="3">
        <f t="shared" si="7"/>
        <v>2014</v>
      </c>
      <c r="N456" s="2" t="s">
        <v>28</v>
      </c>
      <c r="O456">
        <v>188</v>
      </c>
      <c r="P456" s="6">
        <v>16316</v>
      </c>
      <c r="Q456">
        <v>8158</v>
      </c>
      <c r="R456">
        <v>3263.2000000000003</v>
      </c>
      <c r="S456">
        <v>176</v>
      </c>
      <c r="T456" s="6">
        <v>631.67999999999995</v>
      </c>
      <c r="U456" t="s">
        <v>157</v>
      </c>
      <c r="V456" t="s">
        <v>1682</v>
      </c>
      <c r="W456" t="s">
        <v>1687</v>
      </c>
      <c r="X456" t="s">
        <v>1683</v>
      </c>
      <c r="Y456" t="s">
        <v>1679</v>
      </c>
      <c r="Z456" t="s">
        <v>1684</v>
      </c>
      <c r="AA456" t="s">
        <v>1418</v>
      </c>
      <c r="AB456">
        <v>145</v>
      </c>
      <c r="AC456">
        <v>58</v>
      </c>
      <c r="AE456">
        <v>38</v>
      </c>
      <c r="AH456" t="s">
        <v>98</v>
      </c>
    </row>
    <row r="457" spans="1:34" x14ac:dyDescent="0.25">
      <c r="A457">
        <v>456</v>
      </c>
      <c r="B457" s="5">
        <v>113612469</v>
      </c>
      <c r="C457" s="5">
        <v>55309835855</v>
      </c>
      <c r="D457">
        <v>2868</v>
      </c>
      <c r="E457" s="1" t="s">
        <v>1689</v>
      </c>
      <c r="F457" t="s">
        <v>1419</v>
      </c>
      <c r="G457" t="s">
        <v>1420</v>
      </c>
      <c r="H457">
        <v>34749</v>
      </c>
      <c r="I457">
        <v>46694322</v>
      </c>
      <c r="L457" s="2">
        <v>41319</v>
      </c>
      <c r="M457" s="3">
        <f t="shared" si="7"/>
        <v>2013</v>
      </c>
      <c r="N457" s="2" t="s">
        <v>28</v>
      </c>
      <c r="O457">
        <v>192</v>
      </c>
      <c r="P457" s="6">
        <v>11258</v>
      </c>
      <c r="Q457">
        <v>5629</v>
      </c>
      <c r="R457">
        <v>2251.6</v>
      </c>
      <c r="S457">
        <v>308</v>
      </c>
      <c r="T457" s="6">
        <v>645.12</v>
      </c>
      <c r="U457" t="s">
        <v>51</v>
      </c>
      <c r="V457" t="s">
        <v>1682</v>
      </c>
      <c r="W457" t="s">
        <v>1674</v>
      </c>
      <c r="X457" t="s">
        <v>1683</v>
      </c>
      <c r="Y457" t="s">
        <v>1679</v>
      </c>
      <c r="Z457" t="s">
        <v>1684</v>
      </c>
      <c r="AA457" t="s">
        <v>1421</v>
      </c>
      <c r="AB457">
        <v>70</v>
      </c>
      <c r="AC457">
        <v>16</v>
      </c>
      <c r="AE457">
        <v>140</v>
      </c>
      <c r="AH457" t="s">
        <v>31</v>
      </c>
    </row>
    <row r="458" spans="1:34" x14ac:dyDescent="0.25">
      <c r="A458">
        <v>457</v>
      </c>
      <c r="B458" s="5">
        <v>758571216</v>
      </c>
      <c r="C458" s="5">
        <v>39575008176</v>
      </c>
      <c r="D458">
        <v>1055</v>
      </c>
      <c r="E458" s="1" t="s">
        <v>1688</v>
      </c>
      <c r="F458" t="s">
        <v>1422</v>
      </c>
      <c r="G458" t="s">
        <v>1423</v>
      </c>
      <c r="H458">
        <v>30588</v>
      </c>
      <c r="I458">
        <v>27092721</v>
      </c>
      <c r="L458" s="2">
        <v>38461</v>
      </c>
      <c r="M458" s="3">
        <f t="shared" si="7"/>
        <v>2005</v>
      </c>
      <c r="N458" s="2" t="s">
        <v>28</v>
      </c>
      <c r="O458">
        <v>196</v>
      </c>
      <c r="P458" s="6">
        <v>2966</v>
      </c>
      <c r="Q458">
        <v>1483</v>
      </c>
      <c r="R458">
        <v>593.20000000000005</v>
      </c>
      <c r="S458">
        <v>154</v>
      </c>
      <c r="T458" s="6">
        <v>658.56</v>
      </c>
      <c r="U458" t="s">
        <v>82</v>
      </c>
      <c r="V458" t="s">
        <v>1677</v>
      </c>
      <c r="W458" t="s">
        <v>1685</v>
      </c>
      <c r="X458" t="s">
        <v>1675</v>
      </c>
      <c r="Y458" t="s">
        <v>1679</v>
      </c>
      <c r="Z458" t="s">
        <v>1680</v>
      </c>
      <c r="AA458" t="s">
        <v>1424</v>
      </c>
      <c r="AB458">
        <v>72</v>
      </c>
      <c r="AC458">
        <v>23</v>
      </c>
      <c r="AE458">
        <v>50</v>
      </c>
      <c r="AH458" t="s">
        <v>57</v>
      </c>
    </row>
    <row r="459" spans="1:34" x14ac:dyDescent="0.25">
      <c r="A459">
        <v>458</v>
      </c>
      <c r="B459" s="5">
        <v>904085550</v>
      </c>
      <c r="C459" s="3">
        <v>4020333151</v>
      </c>
      <c r="D459">
        <v>7257</v>
      </c>
      <c r="E459" s="1" t="s">
        <v>1688</v>
      </c>
      <c r="F459" t="s">
        <v>1425</v>
      </c>
      <c r="G459" t="s">
        <v>1426</v>
      </c>
      <c r="H459">
        <v>28601</v>
      </c>
      <c r="I459">
        <v>41696721</v>
      </c>
      <c r="L459" s="2">
        <v>35512</v>
      </c>
      <c r="M459" s="3">
        <f t="shared" si="7"/>
        <v>1997</v>
      </c>
      <c r="N459" s="2" t="s">
        <v>28</v>
      </c>
      <c r="O459">
        <v>233</v>
      </c>
      <c r="P459" s="6">
        <v>21885</v>
      </c>
      <c r="Q459">
        <v>10942.5</v>
      </c>
      <c r="R459">
        <v>4377</v>
      </c>
      <c r="S459">
        <v>286</v>
      </c>
      <c r="T459" s="6">
        <v>782.88</v>
      </c>
      <c r="U459" t="s">
        <v>164</v>
      </c>
      <c r="V459" t="s">
        <v>1677</v>
      </c>
      <c r="W459" t="s">
        <v>1674</v>
      </c>
      <c r="X459" t="s">
        <v>1675</v>
      </c>
      <c r="Y459" t="s">
        <v>1679</v>
      </c>
      <c r="Z459" t="s">
        <v>1680</v>
      </c>
      <c r="AA459" t="s">
        <v>1427</v>
      </c>
      <c r="AB459">
        <v>100</v>
      </c>
      <c r="AC459">
        <v>53</v>
      </c>
      <c r="AE459">
        <v>195</v>
      </c>
      <c r="AH459" t="s">
        <v>31</v>
      </c>
    </row>
    <row r="460" spans="1:34" x14ac:dyDescent="0.25">
      <c r="A460">
        <v>459</v>
      </c>
      <c r="B460" s="5">
        <v>102860464</v>
      </c>
      <c r="C460" s="5">
        <v>30196640139</v>
      </c>
      <c r="D460">
        <v>2410</v>
      </c>
      <c r="E460" s="1" t="s">
        <v>1689</v>
      </c>
      <c r="F460" t="s">
        <v>1428</v>
      </c>
      <c r="G460" t="s">
        <v>1429</v>
      </c>
      <c r="H460">
        <v>31293</v>
      </c>
      <c r="I460">
        <v>42649154</v>
      </c>
      <c r="L460" s="2">
        <v>41136</v>
      </c>
      <c r="M460" s="3">
        <f t="shared" si="7"/>
        <v>2012</v>
      </c>
      <c r="N460" s="2" t="s">
        <v>28</v>
      </c>
      <c r="O460">
        <v>245</v>
      </c>
      <c r="P460" s="6">
        <v>19314</v>
      </c>
      <c r="Q460">
        <v>9657</v>
      </c>
      <c r="R460">
        <v>3862.8</v>
      </c>
      <c r="S460">
        <v>220</v>
      </c>
      <c r="T460" s="6">
        <v>823.19999999999993</v>
      </c>
      <c r="U460" t="s">
        <v>157</v>
      </c>
      <c r="V460" t="s">
        <v>1682</v>
      </c>
      <c r="W460" t="s">
        <v>1687</v>
      </c>
      <c r="X460" t="s">
        <v>1683</v>
      </c>
      <c r="Y460" t="s">
        <v>1679</v>
      </c>
      <c r="Z460" t="s">
        <v>1684</v>
      </c>
      <c r="AA460" t="s">
        <v>1430</v>
      </c>
      <c r="AB460">
        <v>130</v>
      </c>
      <c r="AC460">
        <v>52</v>
      </c>
      <c r="AE460">
        <v>128</v>
      </c>
      <c r="AH460" t="s">
        <v>98</v>
      </c>
    </row>
    <row r="461" spans="1:34" x14ac:dyDescent="0.25">
      <c r="A461">
        <v>460</v>
      </c>
      <c r="B461" s="5">
        <v>336453453</v>
      </c>
      <c r="C461" s="5">
        <v>56640227061</v>
      </c>
      <c r="D461">
        <v>5109</v>
      </c>
      <c r="E461" s="1" t="s">
        <v>1688</v>
      </c>
      <c r="F461" t="s">
        <v>1431</v>
      </c>
      <c r="G461" t="s">
        <v>1432</v>
      </c>
      <c r="H461">
        <v>28007</v>
      </c>
      <c r="I461">
        <v>25051915</v>
      </c>
      <c r="L461" s="2">
        <v>38663</v>
      </c>
      <c r="M461" s="3">
        <f t="shared" si="7"/>
        <v>2005</v>
      </c>
      <c r="N461" s="2" t="s">
        <v>28</v>
      </c>
      <c r="O461">
        <v>218</v>
      </c>
      <c r="P461" s="6">
        <v>14225</v>
      </c>
      <c r="Q461">
        <v>7112.5</v>
      </c>
      <c r="R461">
        <v>2845</v>
      </c>
      <c r="S461">
        <v>308</v>
      </c>
      <c r="T461" s="6">
        <v>732.48</v>
      </c>
      <c r="U461" t="s">
        <v>164</v>
      </c>
      <c r="V461" t="s">
        <v>1677</v>
      </c>
      <c r="W461" t="s">
        <v>1674</v>
      </c>
      <c r="X461" t="s">
        <v>1675</v>
      </c>
      <c r="Y461" t="s">
        <v>1679</v>
      </c>
      <c r="Z461" t="s">
        <v>1680</v>
      </c>
      <c r="AA461" t="s">
        <v>1433</v>
      </c>
      <c r="AB461">
        <v>49</v>
      </c>
      <c r="AC461">
        <v>24</v>
      </c>
      <c r="AE461">
        <v>23</v>
      </c>
      <c r="AH461" t="s">
        <v>31</v>
      </c>
    </row>
    <row r="462" spans="1:34" x14ac:dyDescent="0.25">
      <c r="A462">
        <v>461</v>
      </c>
      <c r="B462" s="5">
        <v>906583930</v>
      </c>
      <c r="C462" s="5">
        <v>75048434567</v>
      </c>
      <c r="D462">
        <v>7902</v>
      </c>
      <c r="E462" s="1" t="s">
        <v>1689</v>
      </c>
      <c r="F462" t="s">
        <v>1434</v>
      </c>
      <c r="G462" t="s">
        <v>1435</v>
      </c>
      <c r="H462">
        <v>34955</v>
      </c>
      <c r="I462">
        <v>33193871</v>
      </c>
      <c r="L462" s="2">
        <v>41790</v>
      </c>
      <c r="M462" s="3">
        <f t="shared" si="7"/>
        <v>2014</v>
      </c>
      <c r="N462" s="2" t="s">
        <v>28</v>
      </c>
      <c r="O462">
        <v>211</v>
      </c>
      <c r="P462" s="6">
        <v>17184</v>
      </c>
      <c r="Q462">
        <v>8592</v>
      </c>
      <c r="R462">
        <v>3436.8</v>
      </c>
      <c r="S462">
        <v>220</v>
      </c>
      <c r="T462" s="6">
        <v>708.96</v>
      </c>
      <c r="U462" t="s">
        <v>44</v>
      </c>
      <c r="V462" t="s">
        <v>1682</v>
      </c>
      <c r="W462" t="s">
        <v>1681</v>
      </c>
      <c r="X462" t="s">
        <v>1683</v>
      </c>
      <c r="Y462" t="s">
        <v>1679</v>
      </c>
      <c r="Z462" t="s">
        <v>1684</v>
      </c>
      <c r="AA462" t="s">
        <v>1436</v>
      </c>
      <c r="AB462">
        <v>123</v>
      </c>
      <c r="AC462">
        <v>52</v>
      </c>
      <c r="AE462">
        <v>156</v>
      </c>
      <c r="AH462" t="s">
        <v>41</v>
      </c>
    </row>
    <row r="463" spans="1:34" x14ac:dyDescent="0.25">
      <c r="A463">
        <v>462</v>
      </c>
      <c r="B463" s="5">
        <v>625527647</v>
      </c>
      <c r="C463" s="5">
        <v>92863257246</v>
      </c>
      <c r="D463">
        <v>5451</v>
      </c>
      <c r="E463" s="1" t="s">
        <v>1689</v>
      </c>
      <c r="F463" t="s">
        <v>1437</v>
      </c>
      <c r="G463" t="s">
        <v>1438</v>
      </c>
      <c r="H463">
        <v>33682</v>
      </c>
      <c r="I463">
        <v>45221709</v>
      </c>
      <c r="L463" s="2">
        <v>40252</v>
      </c>
      <c r="M463" s="3">
        <f t="shared" si="7"/>
        <v>2010</v>
      </c>
      <c r="N463" s="2" t="s">
        <v>28</v>
      </c>
      <c r="O463">
        <v>220</v>
      </c>
      <c r="P463" s="6">
        <v>5989</v>
      </c>
      <c r="Q463">
        <v>2994.5</v>
      </c>
      <c r="R463">
        <v>1197.8</v>
      </c>
      <c r="S463">
        <v>264</v>
      </c>
      <c r="T463" s="6">
        <v>739.19999999999993</v>
      </c>
      <c r="U463" t="s">
        <v>44</v>
      </c>
      <c r="V463" t="s">
        <v>1682</v>
      </c>
      <c r="W463" t="s">
        <v>1681</v>
      </c>
      <c r="X463" t="s">
        <v>1683</v>
      </c>
      <c r="Y463" t="s">
        <v>1679</v>
      </c>
      <c r="Z463" t="s">
        <v>1684</v>
      </c>
      <c r="AA463" t="s">
        <v>1439</v>
      </c>
      <c r="AB463">
        <v>98</v>
      </c>
      <c r="AC463">
        <v>37</v>
      </c>
      <c r="AE463">
        <v>38</v>
      </c>
      <c r="AH463" t="s">
        <v>41</v>
      </c>
    </row>
    <row r="464" spans="1:34" x14ac:dyDescent="0.25">
      <c r="A464">
        <v>463</v>
      </c>
      <c r="B464" s="5">
        <v>585531458</v>
      </c>
      <c r="C464" s="5">
        <v>65506203884</v>
      </c>
      <c r="D464">
        <v>6453</v>
      </c>
      <c r="E464" s="1" t="s">
        <v>1688</v>
      </c>
      <c r="F464" t="s">
        <v>1440</v>
      </c>
      <c r="G464" t="s">
        <v>1441</v>
      </c>
      <c r="H464">
        <v>28994</v>
      </c>
      <c r="I464">
        <v>30678025</v>
      </c>
      <c r="L464" s="2">
        <v>38418</v>
      </c>
      <c r="M464" s="3">
        <f t="shared" si="7"/>
        <v>2005</v>
      </c>
      <c r="N464" s="2" t="s">
        <v>28</v>
      </c>
      <c r="O464">
        <v>169</v>
      </c>
      <c r="P464" s="6">
        <v>15290</v>
      </c>
      <c r="Q464">
        <v>7645</v>
      </c>
      <c r="R464">
        <v>3058</v>
      </c>
      <c r="S464">
        <v>220</v>
      </c>
      <c r="T464" s="6">
        <v>567.84</v>
      </c>
      <c r="U464" t="s">
        <v>168</v>
      </c>
      <c r="V464" t="s">
        <v>1677</v>
      </c>
      <c r="W464" t="s">
        <v>1687</v>
      </c>
      <c r="X464" t="s">
        <v>1675</v>
      </c>
      <c r="Y464" t="s">
        <v>1679</v>
      </c>
      <c r="Z464" t="s">
        <v>1680</v>
      </c>
      <c r="AA464" t="s">
        <v>1442</v>
      </c>
      <c r="AB464">
        <v>28</v>
      </c>
      <c r="AC464">
        <v>40</v>
      </c>
      <c r="AE464">
        <v>111</v>
      </c>
      <c r="AH464" t="s">
        <v>98</v>
      </c>
    </row>
    <row r="465" spans="1:34" x14ac:dyDescent="0.25">
      <c r="A465">
        <v>464</v>
      </c>
      <c r="B465" s="5">
        <v>697100232</v>
      </c>
      <c r="C465" s="5">
        <v>20576586404</v>
      </c>
      <c r="D465">
        <v>1168</v>
      </c>
      <c r="E465" s="1" t="s">
        <v>1688</v>
      </c>
      <c r="F465" t="s">
        <v>1443</v>
      </c>
      <c r="G465" t="s">
        <v>1444</v>
      </c>
      <c r="H465">
        <v>35755</v>
      </c>
      <c r="I465">
        <v>44222034</v>
      </c>
      <c r="L465" s="2">
        <v>42325</v>
      </c>
      <c r="M465" s="3">
        <f t="shared" si="7"/>
        <v>2015</v>
      </c>
      <c r="N465" s="2" t="s">
        <v>28</v>
      </c>
      <c r="O465">
        <v>156</v>
      </c>
      <c r="P465" s="6">
        <v>1486</v>
      </c>
      <c r="Q465">
        <v>743</v>
      </c>
      <c r="R465">
        <v>297.2</v>
      </c>
      <c r="S465">
        <v>220</v>
      </c>
      <c r="T465" s="6">
        <v>524.16</v>
      </c>
      <c r="U465" t="s">
        <v>34</v>
      </c>
      <c r="V465" t="s">
        <v>1677</v>
      </c>
      <c r="W465" t="s">
        <v>1678</v>
      </c>
      <c r="X465" t="s">
        <v>1675</v>
      </c>
      <c r="Y465" t="s">
        <v>1679</v>
      </c>
      <c r="Z465" t="s">
        <v>1680</v>
      </c>
      <c r="AA465" t="s">
        <v>1445</v>
      </c>
      <c r="AB465">
        <v>31</v>
      </c>
      <c r="AC465">
        <v>28</v>
      </c>
      <c r="AE465">
        <v>36</v>
      </c>
      <c r="AH465" t="s">
        <v>36</v>
      </c>
    </row>
    <row r="466" spans="1:34" x14ac:dyDescent="0.25">
      <c r="A466">
        <v>465</v>
      </c>
      <c r="B466" s="5">
        <v>272662712</v>
      </c>
      <c r="C466" s="5">
        <v>48030841974</v>
      </c>
      <c r="D466">
        <v>6172</v>
      </c>
      <c r="E466" s="1" t="s">
        <v>1689</v>
      </c>
      <c r="F466" t="s">
        <v>1446</v>
      </c>
      <c r="G466" t="s">
        <v>1447</v>
      </c>
      <c r="H466">
        <v>32335</v>
      </c>
      <c r="I466">
        <v>27776120</v>
      </c>
      <c r="L466" s="2">
        <v>41285</v>
      </c>
      <c r="M466" s="3">
        <f t="shared" si="7"/>
        <v>2013</v>
      </c>
      <c r="N466" s="2" t="s">
        <v>28</v>
      </c>
      <c r="O466">
        <v>181</v>
      </c>
      <c r="P466" s="6">
        <v>20699</v>
      </c>
      <c r="Q466">
        <v>10349.5</v>
      </c>
      <c r="R466">
        <v>4139.8</v>
      </c>
      <c r="S466">
        <v>286</v>
      </c>
      <c r="T466" s="6">
        <v>608.16</v>
      </c>
      <c r="U466" t="s">
        <v>168</v>
      </c>
      <c r="V466" t="s">
        <v>1677</v>
      </c>
      <c r="W466" t="s">
        <v>1687</v>
      </c>
      <c r="X466" t="s">
        <v>1675</v>
      </c>
      <c r="Y466" t="s">
        <v>1679</v>
      </c>
      <c r="Z466" t="s">
        <v>1680</v>
      </c>
      <c r="AA466" t="s">
        <v>1448</v>
      </c>
      <c r="AB466">
        <v>20</v>
      </c>
      <c r="AC466">
        <v>8</v>
      </c>
      <c r="AE466">
        <v>126</v>
      </c>
      <c r="AH466" t="s">
        <v>98</v>
      </c>
    </row>
    <row r="467" spans="1:34" x14ac:dyDescent="0.25">
      <c r="A467">
        <v>466</v>
      </c>
      <c r="B467" s="5">
        <v>409313286</v>
      </c>
      <c r="C467" s="5">
        <v>68860346202</v>
      </c>
      <c r="D467">
        <v>7796</v>
      </c>
      <c r="E467" s="1" t="s">
        <v>1688</v>
      </c>
      <c r="F467" t="s">
        <v>1449</v>
      </c>
      <c r="G467" t="s">
        <v>1450</v>
      </c>
      <c r="H467">
        <v>34593</v>
      </c>
      <c r="I467">
        <v>39027676</v>
      </c>
      <c r="L467" s="2">
        <v>41163</v>
      </c>
      <c r="M467" s="3">
        <f t="shared" si="7"/>
        <v>2012</v>
      </c>
      <c r="N467" s="2" t="s">
        <v>28</v>
      </c>
      <c r="O467">
        <v>181</v>
      </c>
      <c r="P467" s="6">
        <v>1838</v>
      </c>
      <c r="Q467">
        <v>919</v>
      </c>
      <c r="R467">
        <v>367.6</v>
      </c>
      <c r="S467">
        <v>308</v>
      </c>
      <c r="T467" s="6">
        <v>608.16</v>
      </c>
      <c r="U467" t="s">
        <v>68</v>
      </c>
      <c r="V467" t="s">
        <v>1686</v>
      </c>
      <c r="W467" t="s">
        <v>1681</v>
      </c>
      <c r="X467" t="s">
        <v>1683</v>
      </c>
      <c r="Y467" t="s">
        <v>1679</v>
      </c>
      <c r="Z467" t="s">
        <v>1684</v>
      </c>
      <c r="AA467" t="s">
        <v>1451</v>
      </c>
      <c r="AB467">
        <v>139</v>
      </c>
      <c r="AC467">
        <v>54</v>
      </c>
      <c r="AE467">
        <v>123</v>
      </c>
      <c r="AH467" t="s">
        <v>41</v>
      </c>
    </row>
    <row r="468" spans="1:34" x14ac:dyDescent="0.25">
      <c r="A468">
        <v>467</v>
      </c>
      <c r="B468" s="5">
        <v>999755810</v>
      </c>
      <c r="C468" s="5">
        <v>32776263108</v>
      </c>
      <c r="D468">
        <v>2435</v>
      </c>
      <c r="E468" s="1" t="s">
        <v>1688</v>
      </c>
      <c r="F468" t="s">
        <v>1452</v>
      </c>
      <c r="G468" t="s">
        <v>1453</v>
      </c>
      <c r="H468">
        <v>32447</v>
      </c>
      <c r="I468">
        <v>27349620</v>
      </c>
      <c r="L468" s="2">
        <v>39017</v>
      </c>
      <c r="M468" s="3">
        <f t="shared" si="7"/>
        <v>2006</v>
      </c>
      <c r="N468" s="2" t="s">
        <v>28</v>
      </c>
      <c r="O468">
        <v>220</v>
      </c>
      <c r="P468" s="6">
        <v>23018</v>
      </c>
      <c r="Q468">
        <v>11509</v>
      </c>
      <c r="R468">
        <v>4603.6000000000004</v>
      </c>
      <c r="S468">
        <v>308</v>
      </c>
      <c r="T468" s="6">
        <v>739.19999999999993</v>
      </c>
      <c r="U468" t="s">
        <v>140</v>
      </c>
      <c r="V468" t="s">
        <v>1682</v>
      </c>
      <c r="W468" t="s">
        <v>1678</v>
      </c>
      <c r="X468" t="s">
        <v>1683</v>
      </c>
      <c r="Y468" t="s">
        <v>1679</v>
      </c>
      <c r="Z468" t="s">
        <v>1684</v>
      </c>
      <c r="AA468" t="s">
        <v>1454</v>
      </c>
      <c r="AB468">
        <v>95</v>
      </c>
      <c r="AC468">
        <v>1</v>
      </c>
      <c r="AE468">
        <v>167</v>
      </c>
      <c r="AH468" t="s">
        <v>36</v>
      </c>
    </row>
    <row r="469" spans="1:34" x14ac:dyDescent="0.25">
      <c r="A469">
        <v>468</v>
      </c>
      <c r="B469" s="5">
        <v>656871927</v>
      </c>
      <c r="C469" s="5">
        <v>50187820897</v>
      </c>
      <c r="D469">
        <v>3451</v>
      </c>
      <c r="E469" s="1" t="s">
        <v>1688</v>
      </c>
      <c r="F469" t="s">
        <v>1455</v>
      </c>
      <c r="G469" t="s">
        <v>1456</v>
      </c>
      <c r="H469">
        <v>33878</v>
      </c>
      <c r="I469">
        <v>35332610</v>
      </c>
      <c r="L469" s="2">
        <v>40448</v>
      </c>
      <c r="M469" s="3">
        <f t="shared" si="7"/>
        <v>2010</v>
      </c>
      <c r="N469" s="2" t="s">
        <v>28</v>
      </c>
      <c r="O469">
        <v>239</v>
      </c>
      <c r="P469" s="6">
        <v>8005</v>
      </c>
      <c r="Q469">
        <v>4002.5</v>
      </c>
      <c r="R469">
        <v>1601</v>
      </c>
      <c r="S469">
        <v>198</v>
      </c>
      <c r="T469" s="6">
        <v>803.04</v>
      </c>
      <c r="U469" t="s">
        <v>92</v>
      </c>
      <c r="V469" t="s">
        <v>1686</v>
      </c>
      <c r="W469" t="s">
        <v>1678</v>
      </c>
      <c r="X469" t="s">
        <v>1683</v>
      </c>
      <c r="Y469" t="s">
        <v>1679</v>
      </c>
      <c r="Z469" t="s">
        <v>1684</v>
      </c>
      <c r="AA469" t="s">
        <v>1457</v>
      </c>
      <c r="AB469">
        <v>63</v>
      </c>
      <c r="AC469">
        <v>56</v>
      </c>
      <c r="AE469">
        <v>38</v>
      </c>
      <c r="AH469" t="s">
        <v>36</v>
      </c>
    </row>
    <row r="470" spans="1:34" x14ac:dyDescent="0.25">
      <c r="A470">
        <v>469</v>
      </c>
      <c r="B470" s="5">
        <v>762627169</v>
      </c>
      <c r="C470" s="5">
        <v>54226412130</v>
      </c>
      <c r="D470">
        <v>2795</v>
      </c>
      <c r="E470" s="1" t="s">
        <v>1689</v>
      </c>
      <c r="F470" t="s">
        <v>1458</v>
      </c>
      <c r="G470" t="s">
        <v>1459</v>
      </c>
      <c r="H470">
        <v>33693</v>
      </c>
      <c r="I470">
        <v>40207009</v>
      </c>
      <c r="L470" s="2">
        <v>42363</v>
      </c>
      <c r="M470" s="3">
        <f t="shared" si="7"/>
        <v>2015</v>
      </c>
      <c r="N470" s="2" t="s">
        <v>28</v>
      </c>
      <c r="O470">
        <v>242</v>
      </c>
      <c r="P470" s="6">
        <v>1094</v>
      </c>
      <c r="Q470">
        <v>547</v>
      </c>
      <c r="R470">
        <v>218.8</v>
      </c>
      <c r="S470">
        <v>176</v>
      </c>
      <c r="T470" s="6">
        <v>813.12</v>
      </c>
      <c r="U470" t="s">
        <v>164</v>
      </c>
      <c r="V470" t="s">
        <v>1677</v>
      </c>
      <c r="W470" t="s">
        <v>1674</v>
      </c>
      <c r="X470" t="s">
        <v>1675</v>
      </c>
      <c r="Y470" t="s">
        <v>1679</v>
      </c>
      <c r="Z470" t="s">
        <v>1680</v>
      </c>
      <c r="AA470" t="s">
        <v>1460</v>
      </c>
      <c r="AB470">
        <v>50</v>
      </c>
      <c r="AC470">
        <v>0</v>
      </c>
      <c r="AE470">
        <v>196</v>
      </c>
      <c r="AH470" t="s">
        <v>31</v>
      </c>
    </row>
    <row r="471" spans="1:34" x14ac:dyDescent="0.25">
      <c r="A471">
        <v>470</v>
      </c>
      <c r="B471" s="5">
        <v>532933077</v>
      </c>
      <c r="C471" s="5">
        <v>69627094277</v>
      </c>
      <c r="D471">
        <v>7243</v>
      </c>
      <c r="E471" s="1" t="s">
        <v>1689</v>
      </c>
      <c r="F471" t="s">
        <v>1461</v>
      </c>
      <c r="G471" t="s">
        <v>1462</v>
      </c>
      <c r="H471">
        <v>33752</v>
      </c>
      <c r="I471">
        <v>46255217</v>
      </c>
      <c r="L471" s="2">
        <v>40322</v>
      </c>
      <c r="M471" s="3">
        <f t="shared" si="7"/>
        <v>2010</v>
      </c>
      <c r="N471" s="2" t="s">
        <v>28</v>
      </c>
      <c r="O471">
        <v>244</v>
      </c>
      <c r="P471" s="6">
        <v>22039</v>
      </c>
      <c r="Q471">
        <v>11019.5</v>
      </c>
      <c r="R471">
        <v>4407.8</v>
      </c>
      <c r="S471">
        <v>286</v>
      </c>
      <c r="T471" s="6">
        <v>819.84</v>
      </c>
      <c r="U471" t="s">
        <v>150</v>
      </c>
      <c r="V471" t="s">
        <v>1680</v>
      </c>
      <c r="W471" t="s">
        <v>1674</v>
      </c>
      <c r="X471" t="s">
        <v>1675</v>
      </c>
      <c r="Y471" t="s">
        <v>61</v>
      </c>
      <c r="Z471" t="s">
        <v>1684</v>
      </c>
      <c r="AA471" t="s">
        <v>1463</v>
      </c>
      <c r="AB471">
        <v>61</v>
      </c>
      <c r="AC471">
        <v>40</v>
      </c>
      <c r="AE471">
        <v>42</v>
      </c>
      <c r="AH471" t="s">
        <v>31</v>
      </c>
    </row>
    <row r="472" spans="1:34" x14ac:dyDescent="0.25">
      <c r="A472">
        <v>471</v>
      </c>
      <c r="B472" s="5">
        <v>463294612</v>
      </c>
      <c r="C472" s="5">
        <v>71312076068</v>
      </c>
      <c r="D472">
        <v>3793</v>
      </c>
      <c r="E472" s="1" t="s">
        <v>1689</v>
      </c>
      <c r="F472" t="s">
        <v>1464</v>
      </c>
      <c r="G472" t="s">
        <v>1465</v>
      </c>
      <c r="H472">
        <v>29766</v>
      </c>
      <c r="I472">
        <v>37617949</v>
      </c>
      <c r="L472" s="2">
        <v>37377</v>
      </c>
      <c r="M472" s="3">
        <f t="shared" si="7"/>
        <v>2002</v>
      </c>
      <c r="N472" s="2" t="s">
        <v>28</v>
      </c>
      <c r="O472">
        <v>232</v>
      </c>
      <c r="P472" s="6">
        <v>7228</v>
      </c>
      <c r="Q472">
        <v>3614</v>
      </c>
      <c r="R472">
        <v>1445.6000000000001</v>
      </c>
      <c r="S472">
        <v>286</v>
      </c>
      <c r="T472" s="6">
        <v>779.52</v>
      </c>
      <c r="U472" t="s">
        <v>168</v>
      </c>
      <c r="V472" t="s">
        <v>1677</v>
      </c>
      <c r="W472" t="s">
        <v>1687</v>
      </c>
      <c r="X472" t="s">
        <v>1675</v>
      </c>
      <c r="Y472" t="s">
        <v>1679</v>
      </c>
      <c r="Z472" t="s">
        <v>1680</v>
      </c>
      <c r="AA472" t="s">
        <v>1466</v>
      </c>
      <c r="AB472">
        <v>104</v>
      </c>
      <c r="AC472">
        <v>35</v>
      </c>
      <c r="AE472">
        <v>185</v>
      </c>
      <c r="AH472" t="s">
        <v>98</v>
      </c>
    </row>
    <row r="473" spans="1:34" x14ac:dyDescent="0.25">
      <c r="A473">
        <v>472</v>
      </c>
      <c r="B473" s="5">
        <v>474469011</v>
      </c>
      <c r="C473" s="5">
        <v>79178311692</v>
      </c>
      <c r="D473">
        <v>6983</v>
      </c>
      <c r="E473" s="1" t="s">
        <v>1689</v>
      </c>
      <c r="F473" t="s">
        <v>1467</v>
      </c>
      <c r="G473" t="s">
        <v>1468</v>
      </c>
      <c r="H473">
        <v>27339</v>
      </c>
      <c r="I473">
        <v>39964322</v>
      </c>
      <c r="L473" s="2">
        <v>40463</v>
      </c>
      <c r="M473" s="3">
        <f t="shared" si="7"/>
        <v>2010</v>
      </c>
      <c r="N473" s="2">
        <v>41070</v>
      </c>
      <c r="O473">
        <v>210</v>
      </c>
      <c r="P473" s="6">
        <v>10551</v>
      </c>
      <c r="Q473">
        <v>5275.5</v>
      </c>
      <c r="R473">
        <v>2110.2000000000003</v>
      </c>
      <c r="S473">
        <v>198</v>
      </c>
      <c r="T473" s="6">
        <v>705.6</v>
      </c>
      <c r="U473" t="s">
        <v>157</v>
      </c>
      <c r="V473" t="s">
        <v>1682</v>
      </c>
      <c r="W473" t="s">
        <v>1687</v>
      </c>
      <c r="X473" t="s">
        <v>1683</v>
      </c>
      <c r="Y473" t="s">
        <v>1679</v>
      </c>
      <c r="Z473" t="s">
        <v>1684</v>
      </c>
      <c r="AA473" t="s">
        <v>1469</v>
      </c>
      <c r="AB473">
        <v>111</v>
      </c>
      <c r="AC473">
        <v>35</v>
      </c>
      <c r="AE473">
        <v>30</v>
      </c>
      <c r="AH473" t="s">
        <v>98</v>
      </c>
    </row>
    <row r="474" spans="1:34" x14ac:dyDescent="0.25">
      <c r="A474">
        <v>473</v>
      </c>
      <c r="B474" s="5">
        <v>690599885</v>
      </c>
      <c r="C474" s="5">
        <v>56034243224</v>
      </c>
      <c r="D474">
        <v>3485</v>
      </c>
      <c r="E474" s="1" t="s">
        <v>1689</v>
      </c>
      <c r="F474" t="s">
        <v>1470</v>
      </c>
      <c r="G474" t="s">
        <v>1471</v>
      </c>
      <c r="H474">
        <v>28770</v>
      </c>
      <c r="I474">
        <v>29812883</v>
      </c>
      <c r="L474" s="2">
        <v>37172</v>
      </c>
      <c r="M474" s="3">
        <f t="shared" si="7"/>
        <v>2001</v>
      </c>
      <c r="N474" s="2" t="s">
        <v>28</v>
      </c>
      <c r="O474">
        <v>155</v>
      </c>
      <c r="P474" s="6">
        <v>11843</v>
      </c>
      <c r="Q474">
        <v>5921.5</v>
      </c>
      <c r="R474">
        <v>2368.6</v>
      </c>
      <c r="S474">
        <v>286</v>
      </c>
      <c r="T474" s="6">
        <v>520.80000000000007</v>
      </c>
      <c r="U474" t="s">
        <v>82</v>
      </c>
      <c r="V474" t="s">
        <v>1677</v>
      </c>
      <c r="W474" t="s">
        <v>1685</v>
      </c>
      <c r="X474" t="s">
        <v>1675</v>
      </c>
      <c r="Y474" t="s">
        <v>1679</v>
      </c>
      <c r="Z474" t="s">
        <v>1680</v>
      </c>
      <c r="AA474" t="s">
        <v>1472</v>
      </c>
      <c r="AB474">
        <v>135</v>
      </c>
      <c r="AC474">
        <v>2</v>
      </c>
      <c r="AE474">
        <v>157</v>
      </c>
      <c r="AH474" t="s">
        <v>57</v>
      </c>
    </row>
    <row r="475" spans="1:34" x14ac:dyDescent="0.25">
      <c r="A475">
        <v>474</v>
      </c>
      <c r="B475" s="5">
        <v>747804546</v>
      </c>
      <c r="C475" s="5">
        <v>79216815163</v>
      </c>
      <c r="D475">
        <v>4720</v>
      </c>
      <c r="E475" s="1" t="s">
        <v>1688</v>
      </c>
      <c r="F475" t="s">
        <v>1473</v>
      </c>
      <c r="G475" t="s">
        <v>1474</v>
      </c>
      <c r="H475">
        <v>33152</v>
      </c>
      <c r="I475">
        <v>30624694</v>
      </c>
      <c r="L475" s="2">
        <v>41757</v>
      </c>
      <c r="M475" s="3">
        <f t="shared" si="7"/>
        <v>2014</v>
      </c>
      <c r="N475" s="2" t="s">
        <v>28</v>
      </c>
      <c r="O475">
        <v>231</v>
      </c>
      <c r="P475" s="6">
        <v>6992</v>
      </c>
      <c r="Q475">
        <v>3496</v>
      </c>
      <c r="R475">
        <v>1398.4</v>
      </c>
      <c r="S475">
        <v>176</v>
      </c>
      <c r="T475" s="6">
        <v>776.16</v>
      </c>
      <c r="U475" t="s">
        <v>44</v>
      </c>
      <c r="V475" t="s">
        <v>1682</v>
      </c>
      <c r="W475" t="s">
        <v>1681</v>
      </c>
      <c r="X475" t="s">
        <v>1683</v>
      </c>
      <c r="Y475" t="s">
        <v>1679</v>
      </c>
      <c r="Z475" t="s">
        <v>1684</v>
      </c>
      <c r="AA475" t="s">
        <v>1475</v>
      </c>
      <c r="AB475">
        <v>124</v>
      </c>
      <c r="AC475">
        <v>55</v>
      </c>
      <c r="AE475">
        <v>196</v>
      </c>
      <c r="AH475" t="s">
        <v>41</v>
      </c>
    </row>
    <row r="476" spans="1:34" x14ac:dyDescent="0.25">
      <c r="A476">
        <v>475</v>
      </c>
      <c r="B476" s="5">
        <v>723955185</v>
      </c>
      <c r="C476" s="5">
        <v>90987125617</v>
      </c>
      <c r="D476">
        <v>2484</v>
      </c>
      <c r="E476" s="1" t="s">
        <v>1688</v>
      </c>
      <c r="F476" t="s">
        <v>1476</v>
      </c>
      <c r="G476" t="s">
        <v>1477</v>
      </c>
      <c r="H476">
        <v>32166</v>
      </c>
      <c r="I476">
        <v>47304266</v>
      </c>
      <c r="L476" s="2">
        <v>41421</v>
      </c>
      <c r="M476" s="3">
        <f t="shared" si="7"/>
        <v>2013</v>
      </c>
      <c r="N476" s="2" t="s">
        <v>28</v>
      </c>
      <c r="O476">
        <v>205</v>
      </c>
      <c r="P476" s="6">
        <v>8241</v>
      </c>
      <c r="Q476">
        <v>4120.5</v>
      </c>
      <c r="R476">
        <v>1648.2</v>
      </c>
      <c r="S476">
        <v>264</v>
      </c>
      <c r="T476" s="6">
        <v>688.80000000000007</v>
      </c>
      <c r="U476" t="s">
        <v>140</v>
      </c>
      <c r="V476" t="s">
        <v>1682</v>
      </c>
      <c r="W476" t="s">
        <v>1678</v>
      </c>
      <c r="X476" t="s">
        <v>1683</v>
      </c>
      <c r="Y476" t="s">
        <v>1679</v>
      </c>
      <c r="Z476" t="s">
        <v>1684</v>
      </c>
      <c r="AA476" t="s">
        <v>1478</v>
      </c>
      <c r="AB476">
        <v>96</v>
      </c>
      <c r="AC476">
        <v>57</v>
      </c>
      <c r="AE476">
        <v>50</v>
      </c>
      <c r="AH476" t="s">
        <v>36</v>
      </c>
    </row>
    <row r="477" spans="1:34" x14ac:dyDescent="0.25">
      <c r="A477">
        <v>476</v>
      </c>
      <c r="B477" s="5">
        <v>198675604</v>
      </c>
      <c r="C477" s="5">
        <v>34250069684</v>
      </c>
      <c r="D477">
        <v>6626</v>
      </c>
      <c r="E477" s="1" t="s">
        <v>1689</v>
      </c>
      <c r="F477" t="s">
        <v>1479</v>
      </c>
      <c r="G477" t="s">
        <v>1480</v>
      </c>
      <c r="H477">
        <v>26404</v>
      </c>
      <c r="I477">
        <v>26064205</v>
      </c>
      <c r="L477" s="2">
        <v>39057</v>
      </c>
      <c r="M477" s="3">
        <f t="shared" si="7"/>
        <v>2006</v>
      </c>
      <c r="N477" s="2" t="s">
        <v>28</v>
      </c>
      <c r="O477">
        <v>157</v>
      </c>
      <c r="P477" s="6">
        <v>2543</v>
      </c>
      <c r="Q477">
        <v>1271.5</v>
      </c>
      <c r="R477">
        <v>508.6</v>
      </c>
      <c r="S477">
        <v>198</v>
      </c>
      <c r="T477" s="6">
        <v>527.52</v>
      </c>
      <c r="U477" t="s">
        <v>34</v>
      </c>
      <c r="V477" t="s">
        <v>1677</v>
      </c>
      <c r="W477" t="s">
        <v>1678</v>
      </c>
      <c r="X477" t="s">
        <v>1675</v>
      </c>
      <c r="Y477" t="s">
        <v>1679</v>
      </c>
      <c r="Z477" t="s">
        <v>1680</v>
      </c>
      <c r="AA477" t="s">
        <v>1481</v>
      </c>
      <c r="AB477">
        <v>143</v>
      </c>
      <c r="AC477">
        <v>41</v>
      </c>
      <c r="AE477">
        <v>122</v>
      </c>
      <c r="AH477" t="s">
        <v>36</v>
      </c>
    </row>
    <row r="478" spans="1:34" x14ac:dyDescent="0.25">
      <c r="A478">
        <v>477</v>
      </c>
      <c r="B478" s="5">
        <v>873349300</v>
      </c>
      <c r="C478" s="5">
        <v>96097462331</v>
      </c>
      <c r="D478">
        <v>4341</v>
      </c>
      <c r="E478" s="1" t="s">
        <v>1689</v>
      </c>
      <c r="F478" t="s">
        <v>1482</v>
      </c>
      <c r="G478" t="s">
        <v>1483</v>
      </c>
      <c r="H478">
        <v>33558</v>
      </c>
      <c r="I478">
        <v>43044579</v>
      </c>
      <c r="L478" s="2">
        <v>40128</v>
      </c>
      <c r="M478" s="3">
        <f t="shared" si="7"/>
        <v>2009</v>
      </c>
      <c r="N478" s="2" t="s">
        <v>28</v>
      </c>
      <c r="O478">
        <v>222</v>
      </c>
      <c r="P478" s="6">
        <v>16187</v>
      </c>
      <c r="Q478">
        <v>8093.5</v>
      </c>
      <c r="R478">
        <v>3237.4</v>
      </c>
      <c r="S478">
        <v>308</v>
      </c>
      <c r="T478" s="6">
        <v>745.92000000000007</v>
      </c>
      <c r="U478" t="s">
        <v>317</v>
      </c>
      <c r="V478" t="s">
        <v>1680</v>
      </c>
      <c r="W478" t="s">
        <v>1681</v>
      </c>
      <c r="X478" t="s">
        <v>1675</v>
      </c>
      <c r="Y478" t="s">
        <v>61</v>
      </c>
      <c r="Z478" t="s">
        <v>1684</v>
      </c>
      <c r="AA478" t="s">
        <v>1484</v>
      </c>
      <c r="AB478">
        <v>119</v>
      </c>
      <c r="AC478">
        <v>47</v>
      </c>
      <c r="AE478">
        <v>8</v>
      </c>
      <c r="AH478" t="s">
        <v>41</v>
      </c>
    </row>
    <row r="479" spans="1:34" x14ac:dyDescent="0.25">
      <c r="A479">
        <v>478</v>
      </c>
      <c r="B479" s="5">
        <v>863391666</v>
      </c>
      <c r="C479" s="5">
        <v>75731877319</v>
      </c>
      <c r="D479">
        <v>5699</v>
      </c>
      <c r="E479" s="1" t="s">
        <v>1689</v>
      </c>
      <c r="F479" t="s">
        <v>1485</v>
      </c>
      <c r="G479" t="s">
        <v>1486</v>
      </c>
      <c r="H479">
        <v>32812</v>
      </c>
      <c r="I479">
        <v>28677999</v>
      </c>
      <c r="L479" s="2">
        <v>39382</v>
      </c>
      <c r="M479" s="3">
        <f t="shared" si="7"/>
        <v>2007</v>
      </c>
      <c r="N479" s="2" t="s">
        <v>28</v>
      </c>
      <c r="O479">
        <v>244</v>
      </c>
      <c r="P479" s="6">
        <v>9542</v>
      </c>
      <c r="Q479">
        <v>4771</v>
      </c>
      <c r="R479">
        <v>1908.4</v>
      </c>
      <c r="S479">
        <v>220</v>
      </c>
      <c r="T479" s="6">
        <v>819.84</v>
      </c>
      <c r="U479" t="s">
        <v>168</v>
      </c>
      <c r="V479" t="s">
        <v>1677</v>
      </c>
      <c r="W479" t="s">
        <v>1687</v>
      </c>
      <c r="X479" t="s">
        <v>1675</v>
      </c>
      <c r="Y479" t="s">
        <v>1679</v>
      </c>
      <c r="Z479" t="s">
        <v>1680</v>
      </c>
      <c r="AA479" t="s">
        <v>1487</v>
      </c>
      <c r="AB479">
        <v>81</v>
      </c>
      <c r="AC479">
        <v>10</v>
      </c>
      <c r="AE479">
        <v>108</v>
      </c>
      <c r="AH479" t="s">
        <v>98</v>
      </c>
    </row>
    <row r="480" spans="1:34" x14ac:dyDescent="0.25">
      <c r="A480">
        <v>479</v>
      </c>
      <c r="B480" s="5">
        <v>630717376</v>
      </c>
      <c r="C480" s="5">
        <v>64306524088</v>
      </c>
      <c r="D480">
        <v>1217</v>
      </c>
      <c r="E480" s="1" t="s">
        <v>1689</v>
      </c>
      <c r="F480" t="s">
        <v>1488</v>
      </c>
      <c r="G480" t="s">
        <v>1041</v>
      </c>
      <c r="H480">
        <v>29182</v>
      </c>
      <c r="I480">
        <v>37897262</v>
      </c>
      <c r="L480" s="2">
        <v>42248</v>
      </c>
      <c r="M480" s="3">
        <f t="shared" si="7"/>
        <v>2015</v>
      </c>
      <c r="N480" s="2" t="s">
        <v>28</v>
      </c>
      <c r="O480">
        <v>223</v>
      </c>
      <c r="P480" s="6">
        <v>21796</v>
      </c>
      <c r="Q480">
        <v>10898</v>
      </c>
      <c r="R480">
        <v>4359.2</v>
      </c>
      <c r="S480">
        <v>242</v>
      </c>
      <c r="T480" s="6">
        <v>749.28000000000009</v>
      </c>
      <c r="U480" t="s">
        <v>790</v>
      </c>
      <c r="V480" t="s">
        <v>1673</v>
      </c>
      <c r="W480" t="s">
        <v>1687</v>
      </c>
      <c r="X480" t="s">
        <v>1675</v>
      </c>
      <c r="Y480" t="s">
        <v>61</v>
      </c>
      <c r="Z480" t="s">
        <v>1676</v>
      </c>
      <c r="AA480" t="s">
        <v>1489</v>
      </c>
      <c r="AB480">
        <v>49</v>
      </c>
      <c r="AC480">
        <v>54</v>
      </c>
      <c r="AE480">
        <v>0</v>
      </c>
      <c r="AH480" t="s">
        <v>98</v>
      </c>
    </row>
    <row r="481" spans="1:34" x14ac:dyDescent="0.25">
      <c r="A481">
        <v>480</v>
      </c>
      <c r="B481" s="5">
        <v>997859911</v>
      </c>
      <c r="C481" s="5">
        <v>82341234351</v>
      </c>
      <c r="D481">
        <v>5430</v>
      </c>
      <c r="E481" s="1" t="s">
        <v>1689</v>
      </c>
      <c r="F481" t="s">
        <v>1490</v>
      </c>
      <c r="G481" t="s">
        <v>1491</v>
      </c>
      <c r="H481">
        <v>26258</v>
      </c>
      <c r="I481">
        <v>47011874</v>
      </c>
      <c r="L481" s="2">
        <v>35513</v>
      </c>
      <c r="M481" s="3">
        <f t="shared" si="7"/>
        <v>1997</v>
      </c>
      <c r="N481" s="2" t="s">
        <v>28</v>
      </c>
      <c r="O481">
        <v>167</v>
      </c>
      <c r="P481" s="6">
        <v>4566</v>
      </c>
      <c r="Q481">
        <v>2283</v>
      </c>
      <c r="R481">
        <v>913.2</v>
      </c>
      <c r="S481">
        <v>308</v>
      </c>
      <c r="T481" s="6">
        <v>561.12</v>
      </c>
      <c r="U481" t="s">
        <v>78</v>
      </c>
      <c r="V481" t="s">
        <v>1680</v>
      </c>
      <c r="W481" t="s">
        <v>1678</v>
      </c>
      <c r="X481" t="s">
        <v>1675</v>
      </c>
      <c r="Y481" t="s">
        <v>61</v>
      </c>
      <c r="Z481" t="s">
        <v>1676</v>
      </c>
      <c r="AA481" t="s">
        <v>1492</v>
      </c>
      <c r="AB481">
        <v>140</v>
      </c>
      <c r="AC481">
        <v>22</v>
      </c>
      <c r="AE481">
        <v>195</v>
      </c>
      <c r="AH481" t="s">
        <v>36</v>
      </c>
    </row>
    <row r="482" spans="1:34" x14ac:dyDescent="0.25">
      <c r="A482">
        <v>481</v>
      </c>
      <c r="B482" s="5">
        <v>830959072</v>
      </c>
      <c r="C482" s="5">
        <v>46146265473</v>
      </c>
      <c r="D482">
        <v>3472</v>
      </c>
      <c r="E482" s="1" t="s">
        <v>1689</v>
      </c>
      <c r="F482" t="s">
        <v>1493</v>
      </c>
      <c r="G482" t="s">
        <v>1494</v>
      </c>
      <c r="H482">
        <v>31543</v>
      </c>
      <c r="I482">
        <v>35147794</v>
      </c>
      <c r="L482" s="2">
        <v>39935</v>
      </c>
      <c r="M482" s="3">
        <f t="shared" si="7"/>
        <v>2009</v>
      </c>
      <c r="N482" s="2" t="s">
        <v>28</v>
      </c>
      <c r="O482">
        <v>243</v>
      </c>
      <c r="P482" s="6">
        <v>8832</v>
      </c>
      <c r="Q482">
        <v>4416</v>
      </c>
      <c r="R482">
        <v>1766.4</v>
      </c>
      <c r="S482">
        <v>198</v>
      </c>
      <c r="T482" s="6">
        <v>816.48</v>
      </c>
      <c r="U482" t="s">
        <v>150</v>
      </c>
      <c r="V482" t="s">
        <v>1680</v>
      </c>
      <c r="W482" t="s">
        <v>1674</v>
      </c>
      <c r="X482" t="s">
        <v>1675</v>
      </c>
      <c r="Y482" t="s">
        <v>61</v>
      </c>
      <c r="Z482" t="s">
        <v>1684</v>
      </c>
      <c r="AA482" t="s">
        <v>1495</v>
      </c>
      <c r="AB482">
        <v>134</v>
      </c>
      <c r="AC482">
        <v>31</v>
      </c>
      <c r="AE482">
        <v>44</v>
      </c>
      <c r="AH482" t="s">
        <v>31</v>
      </c>
    </row>
    <row r="483" spans="1:34" x14ac:dyDescent="0.25">
      <c r="A483">
        <v>482</v>
      </c>
      <c r="B483" s="5">
        <v>557721604</v>
      </c>
      <c r="C483" s="5">
        <v>21274815670</v>
      </c>
      <c r="D483">
        <v>7215</v>
      </c>
      <c r="E483" s="1" t="s">
        <v>1688</v>
      </c>
      <c r="F483" t="s">
        <v>1496</v>
      </c>
      <c r="G483" t="s">
        <v>1497</v>
      </c>
      <c r="H483">
        <v>26226</v>
      </c>
      <c r="I483">
        <v>43372960</v>
      </c>
      <c r="L483" s="2">
        <v>33244</v>
      </c>
      <c r="M483" s="3">
        <f t="shared" si="7"/>
        <v>1991</v>
      </c>
      <c r="N483" s="2" t="s">
        <v>28</v>
      </c>
      <c r="O483">
        <v>230</v>
      </c>
      <c r="P483" s="6">
        <v>12636</v>
      </c>
      <c r="Q483">
        <v>6318</v>
      </c>
      <c r="R483">
        <v>2527.2000000000003</v>
      </c>
      <c r="S483">
        <v>220</v>
      </c>
      <c r="T483" s="6">
        <v>772.80000000000007</v>
      </c>
      <c r="U483" t="s">
        <v>92</v>
      </c>
      <c r="V483" t="s">
        <v>1686</v>
      </c>
      <c r="W483" t="s">
        <v>1678</v>
      </c>
      <c r="X483" t="s">
        <v>1683</v>
      </c>
      <c r="Y483" t="s">
        <v>1679</v>
      </c>
      <c r="Z483" t="s">
        <v>1684</v>
      </c>
      <c r="AA483" t="s">
        <v>1498</v>
      </c>
      <c r="AB483">
        <v>113</v>
      </c>
      <c r="AC483">
        <v>19</v>
      </c>
      <c r="AE483">
        <v>54</v>
      </c>
      <c r="AH483" t="s">
        <v>36</v>
      </c>
    </row>
    <row r="484" spans="1:34" x14ac:dyDescent="0.25">
      <c r="A484">
        <v>483</v>
      </c>
      <c r="B484" s="5">
        <v>880209213</v>
      </c>
      <c r="C484" s="5">
        <v>83588649005</v>
      </c>
      <c r="D484">
        <v>6927</v>
      </c>
      <c r="E484" s="1" t="s">
        <v>1689</v>
      </c>
      <c r="F484" t="s">
        <v>1499</v>
      </c>
      <c r="G484" t="s">
        <v>1500</v>
      </c>
      <c r="H484">
        <v>32495</v>
      </c>
      <c r="I484">
        <v>36077010</v>
      </c>
      <c r="L484" s="2">
        <v>39065</v>
      </c>
      <c r="M484" s="3">
        <f t="shared" si="7"/>
        <v>2006</v>
      </c>
      <c r="N484" s="2" t="s">
        <v>28</v>
      </c>
      <c r="O484">
        <v>219</v>
      </c>
      <c r="P484" s="6">
        <v>1217</v>
      </c>
      <c r="Q484">
        <v>608.5</v>
      </c>
      <c r="R484">
        <v>243.4</v>
      </c>
      <c r="S484">
        <v>154</v>
      </c>
      <c r="T484" s="6">
        <v>735.84</v>
      </c>
      <c r="U484" t="s">
        <v>157</v>
      </c>
      <c r="V484" t="s">
        <v>1682</v>
      </c>
      <c r="W484" t="s">
        <v>1687</v>
      </c>
      <c r="X484" t="s">
        <v>1683</v>
      </c>
      <c r="Y484" t="s">
        <v>1679</v>
      </c>
      <c r="Z484" t="s">
        <v>1684</v>
      </c>
      <c r="AA484" t="s">
        <v>1501</v>
      </c>
      <c r="AB484">
        <v>105</v>
      </c>
      <c r="AC484">
        <v>58</v>
      </c>
      <c r="AE484">
        <v>72</v>
      </c>
      <c r="AH484" t="s">
        <v>98</v>
      </c>
    </row>
    <row r="485" spans="1:34" x14ac:dyDescent="0.25">
      <c r="A485">
        <v>484</v>
      </c>
      <c r="B485" s="5">
        <v>858876368</v>
      </c>
      <c r="C485" s="3">
        <v>6716869616</v>
      </c>
      <c r="D485">
        <v>3276</v>
      </c>
      <c r="E485" s="1" t="s">
        <v>1689</v>
      </c>
      <c r="F485" t="s">
        <v>1502</v>
      </c>
      <c r="G485" t="s">
        <v>1503</v>
      </c>
      <c r="H485">
        <v>26268</v>
      </c>
      <c r="I485">
        <v>39863490</v>
      </c>
      <c r="L485" s="2">
        <v>33938</v>
      </c>
      <c r="M485" s="3">
        <f t="shared" si="7"/>
        <v>1992</v>
      </c>
      <c r="N485" s="2" t="s">
        <v>28</v>
      </c>
      <c r="O485">
        <v>188</v>
      </c>
      <c r="P485" s="6">
        <v>15922</v>
      </c>
      <c r="Q485">
        <v>7961</v>
      </c>
      <c r="R485">
        <v>3184.4</v>
      </c>
      <c r="S485">
        <v>176</v>
      </c>
      <c r="T485" s="6">
        <v>631.67999999999995</v>
      </c>
      <c r="U485" t="s">
        <v>150</v>
      </c>
      <c r="V485" t="s">
        <v>1680</v>
      </c>
      <c r="W485" t="s">
        <v>1674</v>
      </c>
      <c r="X485" t="s">
        <v>1675</v>
      </c>
      <c r="Y485" t="s">
        <v>61</v>
      </c>
      <c r="Z485" t="s">
        <v>1684</v>
      </c>
      <c r="AA485" t="s">
        <v>1504</v>
      </c>
      <c r="AB485">
        <v>113</v>
      </c>
      <c r="AC485">
        <v>44</v>
      </c>
      <c r="AE485">
        <v>159</v>
      </c>
      <c r="AH485" t="s">
        <v>31</v>
      </c>
    </row>
    <row r="486" spans="1:34" x14ac:dyDescent="0.25">
      <c r="A486">
        <v>485</v>
      </c>
      <c r="B486" s="5">
        <v>694770248</v>
      </c>
      <c r="C486" s="5">
        <v>78675180676</v>
      </c>
      <c r="D486">
        <v>1525</v>
      </c>
      <c r="E486" s="1" t="s">
        <v>1688</v>
      </c>
      <c r="F486" t="s">
        <v>1505</v>
      </c>
      <c r="G486" t="s">
        <v>1506</v>
      </c>
      <c r="H486">
        <v>30420</v>
      </c>
      <c r="I486">
        <v>36876726</v>
      </c>
      <c r="L486" s="2">
        <v>42134</v>
      </c>
      <c r="M486" s="3">
        <f t="shared" si="7"/>
        <v>2015</v>
      </c>
      <c r="N486" s="2" t="s">
        <v>28</v>
      </c>
      <c r="O486">
        <v>198</v>
      </c>
      <c r="P486" s="6">
        <v>18304</v>
      </c>
      <c r="Q486">
        <v>9152</v>
      </c>
      <c r="R486">
        <v>3660.8</v>
      </c>
      <c r="S486">
        <v>286</v>
      </c>
      <c r="T486" s="6">
        <v>665.28000000000009</v>
      </c>
      <c r="U486" t="s">
        <v>164</v>
      </c>
      <c r="V486" t="s">
        <v>1677</v>
      </c>
      <c r="W486" t="s">
        <v>1674</v>
      </c>
      <c r="X486" t="s">
        <v>1675</v>
      </c>
      <c r="Y486" t="s">
        <v>1679</v>
      </c>
      <c r="Z486" t="s">
        <v>1680</v>
      </c>
      <c r="AA486" t="s">
        <v>1507</v>
      </c>
      <c r="AB486">
        <v>126</v>
      </c>
      <c r="AC486">
        <v>52</v>
      </c>
      <c r="AE486">
        <v>106</v>
      </c>
      <c r="AH486" t="s">
        <v>31</v>
      </c>
    </row>
    <row r="487" spans="1:34" x14ac:dyDescent="0.25">
      <c r="A487">
        <v>486</v>
      </c>
      <c r="B487" s="5">
        <v>449727193</v>
      </c>
      <c r="C487" s="5">
        <v>36810461401</v>
      </c>
      <c r="D487">
        <v>5737</v>
      </c>
      <c r="E487" s="1" t="s">
        <v>1689</v>
      </c>
      <c r="F487" t="s">
        <v>1508</v>
      </c>
      <c r="G487" t="s">
        <v>1509</v>
      </c>
      <c r="H487">
        <v>30614</v>
      </c>
      <c r="I487">
        <v>42038649</v>
      </c>
      <c r="L487" s="2">
        <v>37184</v>
      </c>
      <c r="M487" s="3">
        <f t="shared" si="7"/>
        <v>2001</v>
      </c>
      <c r="N487" s="2" t="s">
        <v>28</v>
      </c>
      <c r="O487">
        <v>179</v>
      </c>
      <c r="P487" s="6">
        <v>15356</v>
      </c>
      <c r="Q487">
        <v>7678</v>
      </c>
      <c r="R487">
        <v>3071.2000000000003</v>
      </c>
      <c r="S487">
        <v>242</v>
      </c>
      <c r="T487" s="6">
        <v>601.44000000000005</v>
      </c>
      <c r="U487" t="s">
        <v>157</v>
      </c>
      <c r="V487" t="s">
        <v>1682</v>
      </c>
      <c r="W487" t="s">
        <v>1687</v>
      </c>
      <c r="X487" t="s">
        <v>1683</v>
      </c>
      <c r="Y487" t="s">
        <v>1679</v>
      </c>
      <c r="Z487" t="s">
        <v>1684</v>
      </c>
      <c r="AA487" t="s">
        <v>1510</v>
      </c>
      <c r="AB487">
        <v>99</v>
      </c>
      <c r="AC487">
        <v>36</v>
      </c>
      <c r="AE487">
        <v>2</v>
      </c>
      <c r="AH487" t="s">
        <v>98</v>
      </c>
    </row>
    <row r="488" spans="1:34" x14ac:dyDescent="0.25">
      <c r="A488">
        <v>487</v>
      </c>
      <c r="B488" s="5">
        <v>863737321</v>
      </c>
      <c r="C488" s="5">
        <v>67776404197</v>
      </c>
      <c r="D488">
        <v>6327</v>
      </c>
      <c r="E488" s="1" t="s">
        <v>1689</v>
      </c>
      <c r="F488" t="s">
        <v>1511</v>
      </c>
      <c r="G488" t="s">
        <v>1512</v>
      </c>
      <c r="H488">
        <v>35431</v>
      </c>
      <c r="I488">
        <v>30615672</v>
      </c>
      <c r="L488" s="2">
        <v>42001</v>
      </c>
      <c r="M488" s="3">
        <f t="shared" si="7"/>
        <v>2014</v>
      </c>
      <c r="N488" s="2" t="s">
        <v>28</v>
      </c>
      <c r="O488">
        <v>243</v>
      </c>
      <c r="P488" s="6">
        <v>6803</v>
      </c>
      <c r="Q488">
        <v>3401.5</v>
      </c>
      <c r="R488">
        <v>1360.6000000000001</v>
      </c>
      <c r="S488">
        <v>286</v>
      </c>
      <c r="T488" s="6">
        <v>816.48</v>
      </c>
      <c r="U488" t="s">
        <v>29</v>
      </c>
      <c r="V488" t="s">
        <v>1673</v>
      </c>
      <c r="W488" t="s">
        <v>1674</v>
      </c>
      <c r="X488" t="s">
        <v>1675</v>
      </c>
      <c r="Y488" t="s">
        <v>61</v>
      </c>
      <c r="Z488" t="s">
        <v>1676</v>
      </c>
      <c r="AA488" t="s">
        <v>1513</v>
      </c>
      <c r="AB488">
        <v>126</v>
      </c>
      <c r="AC488">
        <v>54</v>
      </c>
      <c r="AE488">
        <v>87</v>
      </c>
      <c r="AH488" t="s">
        <v>31</v>
      </c>
    </row>
    <row r="489" spans="1:34" x14ac:dyDescent="0.25">
      <c r="A489">
        <v>488</v>
      </c>
      <c r="B489" s="5">
        <v>855410323</v>
      </c>
      <c r="C489" s="5">
        <v>36372640719</v>
      </c>
      <c r="D489">
        <v>5521</v>
      </c>
      <c r="E489" s="1" t="s">
        <v>1688</v>
      </c>
      <c r="F489" t="s">
        <v>1514</v>
      </c>
      <c r="G489" t="s">
        <v>1515</v>
      </c>
      <c r="H489">
        <v>34065</v>
      </c>
      <c r="I489">
        <v>39081452</v>
      </c>
      <c r="L489" s="2">
        <v>40635</v>
      </c>
      <c r="M489" s="3">
        <f t="shared" si="7"/>
        <v>2011</v>
      </c>
      <c r="N489" s="2" t="s">
        <v>28</v>
      </c>
      <c r="O489">
        <v>208</v>
      </c>
      <c r="P489" s="6">
        <v>13808</v>
      </c>
      <c r="Q489">
        <v>6904</v>
      </c>
      <c r="R489">
        <v>2761.6000000000004</v>
      </c>
      <c r="S489">
        <v>176</v>
      </c>
      <c r="T489" s="6">
        <v>698.88</v>
      </c>
      <c r="U489" t="s">
        <v>127</v>
      </c>
      <c r="V489" t="s">
        <v>1686</v>
      </c>
      <c r="W489" t="s">
        <v>1685</v>
      </c>
      <c r="X489" t="s">
        <v>1683</v>
      </c>
      <c r="Y489" t="s">
        <v>1679</v>
      </c>
      <c r="Z489" t="s">
        <v>1684</v>
      </c>
      <c r="AA489" t="s">
        <v>1516</v>
      </c>
      <c r="AB489">
        <v>80</v>
      </c>
      <c r="AC489">
        <v>26</v>
      </c>
      <c r="AE489">
        <v>142</v>
      </c>
      <c r="AH489" t="s">
        <v>57</v>
      </c>
    </row>
    <row r="490" spans="1:34" x14ac:dyDescent="0.25">
      <c r="A490">
        <v>489</v>
      </c>
      <c r="B490" s="5">
        <v>399085305</v>
      </c>
      <c r="C490" s="5">
        <v>43392060854</v>
      </c>
      <c r="D490">
        <v>5022</v>
      </c>
      <c r="E490" s="1" t="s">
        <v>1689</v>
      </c>
      <c r="F490" t="s">
        <v>1517</v>
      </c>
      <c r="G490" t="s">
        <v>1518</v>
      </c>
      <c r="H490">
        <v>36291</v>
      </c>
      <c r="I490">
        <v>36444182</v>
      </c>
      <c r="L490" s="2">
        <v>42861</v>
      </c>
      <c r="M490" s="3">
        <f t="shared" si="7"/>
        <v>2017</v>
      </c>
      <c r="N490" s="2" t="s">
        <v>28</v>
      </c>
      <c r="O490">
        <v>154</v>
      </c>
      <c r="P490" s="6">
        <v>2270</v>
      </c>
      <c r="Q490">
        <v>1135</v>
      </c>
      <c r="R490">
        <v>454</v>
      </c>
      <c r="S490">
        <v>198</v>
      </c>
      <c r="T490" s="6">
        <v>517.44000000000005</v>
      </c>
      <c r="U490" t="s">
        <v>29</v>
      </c>
      <c r="V490" t="s">
        <v>1673</v>
      </c>
      <c r="W490" t="s">
        <v>1674</v>
      </c>
      <c r="X490" t="s">
        <v>1675</v>
      </c>
      <c r="Y490" t="s">
        <v>61</v>
      </c>
      <c r="Z490" t="s">
        <v>1676</v>
      </c>
      <c r="AA490" t="s">
        <v>1519</v>
      </c>
      <c r="AB490">
        <v>45</v>
      </c>
      <c r="AC490">
        <v>49</v>
      </c>
      <c r="AE490">
        <v>19</v>
      </c>
      <c r="AH490" t="s">
        <v>31</v>
      </c>
    </row>
    <row r="491" spans="1:34" x14ac:dyDescent="0.25">
      <c r="A491">
        <v>490</v>
      </c>
      <c r="B491" s="5">
        <v>412671736</v>
      </c>
      <c r="C491" s="5">
        <v>10863405761</v>
      </c>
      <c r="D491">
        <v>3726</v>
      </c>
      <c r="E491" s="1" t="s">
        <v>1689</v>
      </c>
      <c r="F491" t="s">
        <v>1520</v>
      </c>
      <c r="G491" t="s">
        <v>1521</v>
      </c>
      <c r="H491">
        <v>33671</v>
      </c>
      <c r="I491">
        <v>27781414</v>
      </c>
      <c r="L491" s="2">
        <v>42016</v>
      </c>
      <c r="M491" s="3">
        <f t="shared" si="7"/>
        <v>2015</v>
      </c>
      <c r="N491" s="2" t="s">
        <v>28</v>
      </c>
      <c r="O491">
        <v>173</v>
      </c>
      <c r="P491" s="6">
        <v>11171</v>
      </c>
      <c r="Q491">
        <v>5585.5</v>
      </c>
      <c r="R491">
        <v>2234.2000000000003</v>
      </c>
      <c r="S491">
        <v>286</v>
      </c>
      <c r="T491" s="6">
        <v>581.28000000000009</v>
      </c>
      <c r="U491" t="s">
        <v>68</v>
      </c>
      <c r="V491" t="s">
        <v>1686</v>
      </c>
      <c r="W491" t="s">
        <v>1681</v>
      </c>
      <c r="X491" t="s">
        <v>1683</v>
      </c>
      <c r="Y491" t="s">
        <v>1679</v>
      </c>
      <c r="Z491" t="s">
        <v>1684</v>
      </c>
      <c r="AA491" t="s">
        <v>1522</v>
      </c>
      <c r="AB491">
        <v>106</v>
      </c>
      <c r="AC491">
        <v>49</v>
      </c>
      <c r="AE491">
        <v>120</v>
      </c>
      <c r="AH491" t="s">
        <v>41</v>
      </c>
    </row>
    <row r="492" spans="1:34" x14ac:dyDescent="0.25">
      <c r="A492">
        <v>491</v>
      </c>
      <c r="B492" s="5">
        <v>951369560</v>
      </c>
      <c r="C492" s="5">
        <v>87869928006</v>
      </c>
      <c r="D492">
        <v>4507</v>
      </c>
      <c r="E492" s="1" t="s">
        <v>1689</v>
      </c>
      <c r="F492" t="s">
        <v>1523</v>
      </c>
      <c r="G492" t="s">
        <v>1524</v>
      </c>
      <c r="H492">
        <v>31063</v>
      </c>
      <c r="I492">
        <v>24999418</v>
      </c>
      <c r="L492" s="2">
        <v>38001</v>
      </c>
      <c r="M492" s="3">
        <f t="shared" si="7"/>
        <v>2004</v>
      </c>
      <c r="N492" s="2" t="s">
        <v>28</v>
      </c>
      <c r="O492">
        <v>225</v>
      </c>
      <c r="P492" s="6">
        <v>16267</v>
      </c>
      <c r="Q492">
        <v>8133.5</v>
      </c>
      <c r="R492">
        <v>3253.4</v>
      </c>
      <c r="S492">
        <v>308</v>
      </c>
      <c r="T492" s="6">
        <v>756</v>
      </c>
      <c r="U492" t="s">
        <v>157</v>
      </c>
      <c r="V492" t="s">
        <v>1682</v>
      </c>
      <c r="W492" t="s">
        <v>1687</v>
      </c>
      <c r="X492" t="s">
        <v>1683</v>
      </c>
      <c r="Y492" t="s">
        <v>1679</v>
      </c>
      <c r="Z492" t="s">
        <v>1684</v>
      </c>
      <c r="AA492" t="s">
        <v>1525</v>
      </c>
      <c r="AB492">
        <v>68</v>
      </c>
      <c r="AC492">
        <v>12</v>
      </c>
      <c r="AE492">
        <v>155</v>
      </c>
      <c r="AH492" t="s">
        <v>98</v>
      </c>
    </row>
    <row r="493" spans="1:34" x14ac:dyDescent="0.25">
      <c r="A493">
        <v>492</v>
      </c>
      <c r="B493" s="5">
        <v>525819007</v>
      </c>
      <c r="C493" s="5">
        <v>77290763348</v>
      </c>
      <c r="D493">
        <v>3590</v>
      </c>
      <c r="E493" s="1" t="s">
        <v>1689</v>
      </c>
      <c r="F493" t="s">
        <v>1526</v>
      </c>
      <c r="G493" t="s">
        <v>1527</v>
      </c>
      <c r="H493">
        <v>34743</v>
      </c>
      <c r="I493">
        <v>48582614</v>
      </c>
      <c r="L493" s="2">
        <v>41313</v>
      </c>
      <c r="M493" s="3">
        <f t="shared" si="7"/>
        <v>2013</v>
      </c>
      <c r="N493" s="2" t="s">
        <v>28</v>
      </c>
      <c r="O493">
        <v>174</v>
      </c>
      <c r="P493" s="6">
        <v>7665</v>
      </c>
      <c r="Q493">
        <v>3832.5</v>
      </c>
      <c r="R493">
        <v>1533</v>
      </c>
      <c r="S493">
        <v>176</v>
      </c>
      <c r="T493" s="6">
        <v>584.64</v>
      </c>
      <c r="U493" t="s">
        <v>168</v>
      </c>
      <c r="V493" t="s">
        <v>1677</v>
      </c>
      <c r="W493" t="s">
        <v>1687</v>
      </c>
      <c r="X493" t="s">
        <v>1675</v>
      </c>
      <c r="Y493" t="s">
        <v>1679</v>
      </c>
      <c r="Z493" t="s">
        <v>1680</v>
      </c>
      <c r="AA493" t="s">
        <v>1528</v>
      </c>
      <c r="AB493">
        <v>84</v>
      </c>
      <c r="AC493">
        <v>54</v>
      </c>
      <c r="AE493">
        <v>182</v>
      </c>
      <c r="AH493" t="s">
        <v>98</v>
      </c>
    </row>
    <row r="494" spans="1:34" x14ac:dyDescent="0.25">
      <c r="A494">
        <v>493</v>
      </c>
      <c r="B494" s="5">
        <v>728334741</v>
      </c>
      <c r="C494" s="5">
        <v>92143125956</v>
      </c>
      <c r="D494">
        <v>5312</v>
      </c>
      <c r="E494" s="1" t="s">
        <v>1689</v>
      </c>
      <c r="F494" t="s">
        <v>1529</v>
      </c>
      <c r="G494" t="s">
        <v>1530</v>
      </c>
      <c r="H494">
        <v>32910</v>
      </c>
      <c r="I494">
        <v>38452533</v>
      </c>
      <c r="L494" s="2">
        <v>39480</v>
      </c>
      <c r="M494" s="3">
        <f t="shared" si="7"/>
        <v>2008</v>
      </c>
      <c r="N494" s="2">
        <v>41361</v>
      </c>
      <c r="O494">
        <v>196</v>
      </c>
      <c r="P494" s="6">
        <v>4968</v>
      </c>
      <c r="Q494">
        <v>2484</v>
      </c>
      <c r="R494">
        <v>993.6</v>
      </c>
      <c r="S494">
        <v>286</v>
      </c>
      <c r="T494" s="6">
        <v>658.56</v>
      </c>
      <c r="U494" t="s">
        <v>34</v>
      </c>
      <c r="V494" t="s">
        <v>1677</v>
      </c>
      <c r="W494" t="s">
        <v>1678</v>
      </c>
      <c r="X494" t="s">
        <v>1675</v>
      </c>
      <c r="Y494" t="s">
        <v>1679</v>
      </c>
      <c r="Z494" t="s">
        <v>1680</v>
      </c>
      <c r="AA494" t="s">
        <v>1531</v>
      </c>
      <c r="AB494">
        <v>75</v>
      </c>
      <c r="AC494">
        <v>27</v>
      </c>
      <c r="AE494">
        <v>29</v>
      </c>
      <c r="AH494" t="s">
        <v>36</v>
      </c>
    </row>
    <row r="495" spans="1:34" x14ac:dyDescent="0.25">
      <c r="A495">
        <v>494</v>
      </c>
      <c r="B495" s="5">
        <v>307135080</v>
      </c>
      <c r="C495" s="5">
        <v>91436370502</v>
      </c>
      <c r="D495">
        <v>1504</v>
      </c>
      <c r="E495" s="1" t="s">
        <v>1688</v>
      </c>
      <c r="F495" t="s">
        <v>1532</v>
      </c>
      <c r="G495" t="s">
        <v>1533</v>
      </c>
      <c r="H495">
        <v>29487</v>
      </c>
      <c r="I495">
        <v>28668019</v>
      </c>
      <c r="L495" s="2">
        <v>36968</v>
      </c>
      <c r="M495" s="3">
        <f t="shared" si="7"/>
        <v>2001</v>
      </c>
      <c r="N495" s="2" t="s">
        <v>28</v>
      </c>
      <c r="O495">
        <v>205</v>
      </c>
      <c r="P495" s="6">
        <v>16621</v>
      </c>
      <c r="Q495">
        <v>8310.5</v>
      </c>
      <c r="R495">
        <v>3324.2000000000003</v>
      </c>
      <c r="S495">
        <v>154</v>
      </c>
      <c r="T495" s="6">
        <v>688.80000000000007</v>
      </c>
      <c r="U495" t="s">
        <v>127</v>
      </c>
      <c r="V495" t="s">
        <v>1686</v>
      </c>
      <c r="W495" t="s">
        <v>1685</v>
      </c>
      <c r="X495" t="s">
        <v>1683</v>
      </c>
      <c r="Y495" t="s">
        <v>1679</v>
      </c>
      <c r="Z495" t="s">
        <v>1684</v>
      </c>
      <c r="AA495" t="s">
        <v>1534</v>
      </c>
      <c r="AB495">
        <v>77</v>
      </c>
      <c r="AC495">
        <v>52</v>
      </c>
      <c r="AE495">
        <v>200</v>
      </c>
      <c r="AH495" t="s">
        <v>57</v>
      </c>
    </row>
    <row r="496" spans="1:34" x14ac:dyDescent="0.25">
      <c r="A496">
        <v>495</v>
      </c>
      <c r="B496" s="5">
        <v>982291303</v>
      </c>
      <c r="C496" s="5">
        <v>56700558997</v>
      </c>
      <c r="D496">
        <v>5942</v>
      </c>
      <c r="E496" s="1" t="s">
        <v>1688</v>
      </c>
      <c r="F496" t="s">
        <v>1535</v>
      </c>
      <c r="G496" t="s">
        <v>1536</v>
      </c>
      <c r="H496">
        <v>34661</v>
      </c>
      <c r="I496">
        <v>39068531</v>
      </c>
      <c r="L496" s="2">
        <v>41956</v>
      </c>
      <c r="M496" s="3">
        <f t="shared" si="7"/>
        <v>2014</v>
      </c>
      <c r="N496" s="2">
        <v>43105</v>
      </c>
      <c r="O496">
        <v>229</v>
      </c>
      <c r="P496" s="6">
        <v>5363</v>
      </c>
      <c r="Q496">
        <v>2681.5</v>
      </c>
      <c r="R496">
        <v>1072.6000000000001</v>
      </c>
      <c r="S496">
        <v>198</v>
      </c>
      <c r="T496" s="6">
        <v>769.44</v>
      </c>
      <c r="U496" t="s">
        <v>92</v>
      </c>
      <c r="V496" t="s">
        <v>1686</v>
      </c>
      <c r="W496" t="s">
        <v>1678</v>
      </c>
      <c r="X496" t="s">
        <v>1683</v>
      </c>
      <c r="Y496" t="s">
        <v>1679</v>
      </c>
      <c r="Z496" t="s">
        <v>1684</v>
      </c>
      <c r="AA496" t="s">
        <v>1537</v>
      </c>
      <c r="AB496">
        <v>96</v>
      </c>
      <c r="AC496">
        <v>20</v>
      </c>
      <c r="AE496">
        <v>34</v>
      </c>
      <c r="AH496" t="s">
        <v>36</v>
      </c>
    </row>
    <row r="497" spans="1:34" x14ac:dyDescent="0.25">
      <c r="A497">
        <v>496</v>
      </c>
      <c r="B497" s="5">
        <v>243564935</v>
      </c>
      <c r="C497" s="5">
        <v>96283060188</v>
      </c>
      <c r="D497">
        <v>4146</v>
      </c>
      <c r="E497" s="1" t="s">
        <v>1689</v>
      </c>
      <c r="F497" t="s">
        <v>1538</v>
      </c>
      <c r="G497" t="s">
        <v>1539</v>
      </c>
      <c r="H497">
        <v>29437</v>
      </c>
      <c r="I497">
        <v>47790880</v>
      </c>
      <c r="L497" s="2">
        <v>40616</v>
      </c>
      <c r="M497" s="3">
        <f t="shared" si="7"/>
        <v>2011</v>
      </c>
      <c r="N497" s="2" t="s">
        <v>28</v>
      </c>
      <c r="O497">
        <v>230</v>
      </c>
      <c r="P497" s="6">
        <v>6710</v>
      </c>
      <c r="Q497">
        <v>3355</v>
      </c>
      <c r="R497">
        <v>1342</v>
      </c>
      <c r="S497">
        <v>308</v>
      </c>
      <c r="T497" s="6">
        <v>772.80000000000007</v>
      </c>
      <c r="U497" t="s">
        <v>168</v>
      </c>
      <c r="V497" t="s">
        <v>1677</v>
      </c>
      <c r="W497" t="s">
        <v>1687</v>
      </c>
      <c r="X497" t="s">
        <v>1675</v>
      </c>
      <c r="Y497" t="s">
        <v>1679</v>
      </c>
      <c r="Z497" t="s">
        <v>1680</v>
      </c>
      <c r="AA497" t="s">
        <v>1540</v>
      </c>
      <c r="AB497">
        <v>57</v>
      </c>
      <c r="AC497">
        <v>3</v>
      </c>
      <c r="AE497">
        <v>40</v>
      </c>
      <c r="AH497" t="s">
        <v>98</v>
      </c>
    </row>
    <row r="498" spans="1:34" x14ac:dyDescent="0.25">
      <c r="A498">
        <v>497</v>
      </c>
      <c r="B498" s="5">
        <v>837201753</v>
      </c>
      <c r="C498" s="3">
        <v>1387367641</v>
      </c>
      <c r="D498">
        <v>2031</v>
      </c>
      <c r="E498" s="1" t="s">
        <v>1689</v>
      </c>
      <c r="F498" t="s">
        <v>1541</v>
      </c>
      <c r="G498" t="s">
        <v>1542</v>
      </c>
      <c r="H498">
        <v>35323</v>
      </c>
      <c r="I498">
        <v>40511266</v>
      </c>
      <c r="L498" s="2">
        <v>41893</v>
      </c>
      <c r="M498" s="3">
        <f t="shared" si="7"/>
        <v>2014</v>
      </c>
      <c r="N498" s="2" t="s">
        <v>28</v>
      </c>
      <c r="O498">
        <v>247</v>
      </c>
      <c r="P498" s="6">
        <v>23256</v>
      </c>
      <c r="Q498">
        <v>11628</v>
      </c>
      <c r="R498">
        <v>4651.2</v>
      </c>
      <c r="S498">
        <v>308</v>
      </c>
      <c r="T498" s="6">
        <v>829.92000000000007</v>
      </c>
      <c r="U498" t="s">
        <v>44</v>
      </c>
      <c r="V498" t="s">
        <v>1682</v>
      </c>
      <c r="W498" t="s">
        <v>1681</v>
      </c>
      <c r="X498" t="s">
        <v>1683</v>
      </c>
      <c r="Y498" t="s">
        <v>1679</v>
      </c>
      <c r="Z498" t="s">
        <v>1684</v>
      </c>
      <c r="AA498" t="s">
        <v>1543</v>
      </c>
      <c r="AB498">
        <v>144</v>
      </c>
      <c r="AC498">
        <v>32</v>
      </c>
      <c r="AE498">
        <v>132</v>
      </c>
      <c r="AH498" t="s">
        <v>41</v>
      </c>
    </row>
    <row r="499" spans="1:34" x14ac:dyDescent="0.25">
      <c r="A499">
        <v>498</v>
      </c>
      <c r="B499" s="5">
        <v>413322638</v>
      </c>
      <c r="C499" s="5">
        <v>10180348974</v>
      </c>
      <c r="D499">
        <v>5238</v>
      </c>
      <c r="E499" s="1" t="s">
        <v>1689</v>
      </c>
      <c r="F499" t="s">
        <v>1544</v>
      </c>
      <c r="G499" t="s">
        <v>1545</v>
      </c>
      <c r="H499">
        <v>29553</v>
      </c>
      <c r="I499">
        <v>23488648</v>
      </c>
      <c r="L499" s="2">
        <v>41286</v>
      </c>
      <c r="M499" s="3">
        <f t="shared" si="7"/>
        <v>2013</v>
      </c>
      <c r="N499" s="2" t="s">
        <v>28</v>
      </c>
      <c r="O499">
        <v>151</v>
      </c>
      <c r="P499" s="6">
        <v>17162</v>
      </c>
      <c r="Q499">
        <v>8581</v>
      </c>
      <c r="R499">
        <v>3432.4</v>
      </c>
      <c r="S499">
        <v>176</v>
      </c>
      <c r="T499" s="6">
        <v>507.36</v>
      </c>
      <c r="U499" t="s">
        <v>68</v>
      </c>
      <c r="V499" t="s">
        <v>1686</v>
      </c>
      <c r="W499" t="s">
        <v>1681</v>
      </c>
      <c r="X499" t="s">
        <v>1683</v>
      </c>
      <c r="Y499" t="s">
        <v>1679</v>
      </c>
      <c r="Z499" t="s">
        <v>1684</v>
      </c>
      <c r="AA499" t="s">
        <v>1546</v>
      </c>
      <c r="AB499">
        <v>139</v>
      </c>
      <c r="AC499">
        <v>56</v>
      </c>
      <c r="AE499">
        <v>11</v>
      </c>
      <c r="AH499" t="s">
        <v>41</v>
      </c>
    </row>
    <row r="500" spans="1:34" x14ac:dyDescent="0.25">
      <c r="A500">
        <v>499</v>
      </c>
      <c r="B500" s="5">
        <v>152005418</v>
      </c>
      <c r="C500" s="5">
        <v>31652836240</v>
      </c>
      <c r="D500">
        <v>1655</v>
      </c>
      <c r="E500" s="1" t="s">
        <v>1688</v>
      </c>
      <c r="F500" t="s">
        <v>1547</v>
      </c>
      <c r="G500" t="s">
        <v>1548</v>
      </c>
      <c r="H500">
        <v>33866</v>
      </c>
      <c r="I500">
        <v>35329849</v>
      </c>
      <c r="L500" s="2">
        <v>40436</v>
      </c>
      <c r="M500" s="3">
        <f t="shared" si="7"/>
        <v>2010</v>
      </c>
      <c r="N500" s="2" t="s">
        <v>28</v>
      </c>
      <c r="O500">
        <v>173</v>
      </c>
      <c r="P500" s="6">
        <v>20338</v>
      </c>
      <c r="Q500">
        <v>10169</v>
      </c>
      <c r="R500">
        <v>4067.6000000000004</v>
      </c>
      <c r="S500">
        <v>286</v>
      </c>
      <c r="T500" s="6">
        <v>581.28000000000009</v>
      </c>
      <c r="U500" t="s">
        <v>168</v>
      </c>
      <c r="V500" t="s">
        <v>1677</v>
      </c>
      <c r="W500" t="s">
        <v>1687</v>
      </c>
      <c r="X500" t="s">
        <v>1675</v>
      </c>
      <c r="Y500" t="s">
        <v>1679</v>
      </c>
      <c r="Z500" t="s">
        <v>1680</v>
      </c>
      <c r="AA500" t="s">
        <v>1549</v>
      </c>
      <c r="AB500">
        <v>73</v>
      </c>
      <c r="AC500">
        <v>19</v>
      </c>
      <c r="AE500">
        <v>1</v>
      </c>
      <c r="AH500" t="s">
        <v>98</v>
      </c>
    </row>
    <row r="501" spans="1:34" x14ac:dyDescent="0.25">
      <c r="A501">
        <v>500</v>
      </c>
      <c r="B501" s="5">
        <v>854512164</v>
      </c>
      <c r="C501" s="5">
        <v>88519923483</v>
      </c>
      <c r="D501">
        <v>3309</v>
      </c>
      <c r="E501" s="1" t="s">
        <v>1688</v>
      </c>
      <c r="F501" t="s">
        <v>1550</v>
      </c>
      <c r="G501" t="s">
        <v>1551</v>
      </c>
      <c r="H501">
        <v>33987</v>
      </c>
      <c r="I501">
        <v>25515718</v>
      </c>
      <c r="L501" s="2">
        <v>40557</v>
      </c>
      <c r="M501" s="3">
        <f t="shared" si="7"/>
        <v>2011</v>
      </c>
      <c r="N501" s="2">
        <v>42797</v>
      </c>
      <c r="O501">
        <v>205</v>
      </c>
      <c r="P501" s="6">
        <v>13296</v>
      </c>
      <c r="Q501">
        <v>6648</v>
      </c>
      <c r="R501">
        <v>2659.2000000000003</v>
      </c>
      <c r="S501">
        <v>198</v>
      </c>
      <c r="T501" s="6">
        <v>688.80000000000007</v>
      </c>
      <c r="U501" t="s">
        <v>140</v>
      </c>
      <c r="V501" t="s">
        <v>1682</v>
      </c>
      <c r="W501" t="s">
        <v>1678</v>
      </c>
      <c r="X501" t="s">
        <v>1683</v>
      </c>
      <c r="Y501" t="s">
        <v>1679</v>
      </c>
      <c r="Z501" t="s">
        <v>1684</v>
      </c>
      <c r="AA501" t="s">
        <v>1552</v>
      </c>
      <c r="AB501">
        <v>115</v>
      </c>
      <c r="AC501">
        <v>51</v>
      </c>
      <c r="AE501">
        <v>166</v>
      </c>
      <c r="AH501" t="s">
        <v>36</v>
      </c>
    </row>
    <row r="502" spans="1:34" x14ac:dyDescent="0.25">
      <c r="A502">
        <v>501</v>
      </c>
      <c r="B502" s="5">
        <v>143836000</v>
      </c>
      <c r="C502" s="5">
        <v>71399869639</v>
      </c>
      <c r="D502">
        <v>2648</v>
      </c>
      <c r="E502" s="1" t="s">
        <v>1689</v>
      </c>
      <c r="F502" t="s">
        <v>1553</v>
      </c>
      <c r="G502" t="s">
        <v>1554</v>
      </c>
      <c r="H502">
        <v>30994</v>
      </c>
      <c r="I502">
        <v>40170885</v>
      </c>
      <c r="L502" s="2">
        <v>37564</v>
      </c>
      <c r="M502" s="3">
        <f t="shared" si="7"/>
        <v>2002</v>
      </c>
      <c r="N502" s="2">
        <v>39938</v>
      </c>
      <c r="O502">
        <v>190</v>
      </c>
      <c r="P502" s="6">
        <v>19609</v>
      </c>
      <c r="Q502">
        <v>9804.5</v>
      </c>
      <c r="R502">
        <v>3921.8</v>
      </c>
      <c r="S502">
        <v>264</v>
      </c>
      <c r="T502" s="6">
        <v>638.4</v>
      </c>
      <c r="U502" t="s">
        <v>44</v>
      </c>
      <c r="V502" t="s">
        <v>1682</v>
      </c>
      <c r="W502" t="s">
        <v>1681</v>
      </c>
      <c r="X502" t="s">
        <v>1683</v>
      </c>
      <c r="Y502" t="s">
        <v>1679</v>
      </c>
      <c r="Z502" t="s">
        <v>1684</v>
      </c>
      <c r="AA502" t="s">
        <v>1555</v>
      </c>
      <c r="AB502">
        <v>145</v>
      </c>
      <c r="AC502">
        <v>26</v>
      </c>
      <c r="AE502">
        <v>99</v>
      </c>
      <c r="AH502" t="s">
        <v>41</v>
      </c>
    </row>
    <row r="503" spans="1:34" x14ac:dyDescent="0.25">
      <c r="A503">
        <v>502</v>
      </c>
      <c r="B503" s="5">
        <v>575413219</v>
      </c>
      <c r="C503" s="5">
        <v>95126718515</v>
      </c>
      <c r="D503">
        <v>4058</v>
      </c>
      <c r="E503" s="1" t="s">
        <v>1689</v>
      </c>
      <c r="F503" t="s">
        <v>1556</v>
      </c>
      <c r="G503" t="s">
        <v>1557</v>
      </c>
      <c r="H503">
        <v>27564</v>
      </c>
      <c r="I503">
        <v>48962482</v>
      </c>
      <c r="L503" s="2">
        <v>39354</v>
      </c>
      <c r="M503" s="3">
        <f t="shared" si="7"/>
        <v>2007</v>
      </c>
      <c r="N503" s="2" t="s">
        <v>28</v>
      </c>
      <c r="O503">
        <v>225</v>
      </c>
      <c r="P503" s="6">
        <v>24070</v>
      </c>
      <c r="Q503">
        <v>12035</v>
      </c>
      <c r="R503">
        <v>4814</v>
      </c>
      <c r="S503">
        <v>308</v>
      </c>
      <c r="T503" s="6">
        <v>756</v>
      </c>
      <c r="U503" t="s">
        <v>790</v>
      </c>
      <c r="V503" t="s">
        <v>1673</v>
      </c>
      <c r="W503" t="s">
        <v>1687</v>
      </c>
      <c r="X503" t="s">
        <v>1675</v>
      </c>
      <c r="Y503" t="s">
        <v>61</v>
      </c>
      <c r="Z503" t="s">
        <v>1676</v>
      </c>
      <c r="AA503" t="s">
        <v>1558</v>
      </c>
      <c r="AB503">
        <v>133</v>
      </c>
      <c r="AC503">
        <v>44</v>
      </c>
      <c r="AE503">
        <v>197</v>
      </c>
      <c r="AH503" t="s">
        <v>98</v>
      </c>
    </row>
    <row r="504" spans="1:34" x14ac:dyDescent="0.25">
      <c r="A504">
        <v>503</v>
      </c>
      <c r="B504" s="5">
        <v>511104966</v>
      </c>
      <c r="C504" s="5">
        <v>75133438138</v>
      </c>
      <c r="D504">
        <v>4113</v>
      </c>
      <c r="E504" s="1" t="s">
        <v>1688</v>
      </c>
      <c r="F504" t="s">
        <v>1559</v>
      </c>
      <c r="G504" t="s">
        <v>1560</v>
      </c>
      <c r="H504">
        <v>33402</v>
      </c>
      <c r="I504">
        <v>31383800</v>
      </c>
      <c r="L504" s="2">
        <v>39972</v>
      </c>
      <c r="M504" s="3">
        <f t="shared" si="7"/>
        <v>2009</v>
      </c>
      <c r="N504" s="2" t="s">
        <v>28</v>
      </c>
      <c r="O504">
        <v>167</v>
      </c>
      <c r="P504" s="6">
        <v>17258</v>
      </c>
      <c r="Q504">
        <v>8629</v>
      </c>
      <c r="R504">
        <v>3451.6000000000004</v>
      </c>
      <c r="S504">
        <v>286</v>
      </c>
      <c r="T504" s="6">
        <v>561.12</v>
      </c>
      <c r="U504" t="s">
        <v>172</v>
      </c>
      <c r="V504" t="s">
        <v>1686</v>
      </c>
      <c r="W504" t="s">
        <v>1674</v>
      </c>
      <c r="X504" t="s">
        <v>1683</v>
      </c>
      <c r="Y504" t="s">
        <v>1679</v>
      </c>
      <c r="Z504" t="s">
        <v>1684</v>
      </c>
      <c r="AA504" t="s">
        <v>1561</v>
      </c>
      <c r="AB504">
        <v>147</v>
      </c>
      <c r="AC504">
        <v>30</v>
      </c>
      <c r="AE504">
        <v>127</v>
      </c>
      <c r="AH504" t="s">
        <v>31</v>
      </c>
    </row>
    <row r="505" spans="1:34" x14ac:dyDescent="0.25">
      <c r="A505">
        <v>504</v>
      </c>
      <c r="B505" s="5">
        <v>186440635</v>
      </c>
      <c r="C505" s="5">
        <v>39765809261</v>
      </c>
      <c r="D505">
        <v>6365</v>
      </c>
      <c r="E505" s="1" t="s">
        <v>1689</v>
      </c>
      <c r="F505" t="s">
        <v>1562</v>
      </c>
      <c r="G505" t="s">
        <v>1563</v>
      </c>
      <c r="H505">
        <v>31985</v>
      </c>
      <c r="I505">
        <v>35106746</v>
      </c>
      <c r="L505" s="2">
        <v>39460</v>
      </c>
      <c r="M505" s="3">
        <f t="shared" si="7"/>
        <v>2008</v>
      </c>
      <c r="N505" s="2">
        <v>41184</v>
      </c>
      <c r="O505">
        <v>247</v>
      </c>
      <c r="P505" s="6">
        <v>7240</v>
      </c>
      <c r="Q505">
        <v>3620</v>
      </c>
      <c r="R505">
        <v>1448</v>
      </c>
      <c r="S505">
        <v>176</v>
      </c>
      <c r="T505" s="6">
        <v>829.92000000000007</v>
      </c>
      <c r="U505" t="s">
        <v>64</v>
      </c>
      <c r="V505" t="s">
        <v>1682</v>
      </c>
      <c r="W505" t="s">
        <v>1685</v>
      </c>
      <c r="X505" t="s">
        <v>1683</v>
      </c>
      <c r="Y505" t="s">
        <v>1679</v>
      </c>
      <c r="Z505" t="s">
        <v>1684</v>
      </c>
      <c r="AA505" t="s">
        <v>1564</v>
      </c>
      <c r="AB505">
        <v>57</v>
      </c>
      <c r="AC505">
        <v>43</v>
      </c>
      <c r="AE505">
        <v>89</v>
      </c>
      <c r="AH505" t="s">
        <v>57</v>
      </c>
    </row>
    <row r="506" spans="1:34" x14ac:dyDescent="0.25">
      <c r="A506">
        <v>505</v>
      </c>
      <c r="B506" s="5">
        <v>201184662</v>
      </c>
      <c r="C506" s="5">
        <v>68307546459</v>
      </c>
      <c r="D506">
        <v>2192</v>
      </c>
      <c r="E506" s="1" t="s">
        <v>1689</v>
      </c>
      <c r="F506" t="s">
        <v>1565</v>
      </c>
      <c r="G506" t="s">
        <v>1566</v>
      </c>
      <c r="H506">
        <v>28007</v>
      </c>
      <c r="I506">
        <v>38947870</v>
      </c>
      <c r="L506" s="2">
        <v>35492</v>
      </c>
      <c r="M506" s="3">
        <f t="shared" si="7"/>
        <v>1997</v>
      </c>
      <c r="N506" s="2" t="s">
        <v>28</v>
      </c>
      <c r="O506">
        <v>152</v>
      </c>
      <c r="P506" s="6">
        <v>19792</v>
      </c>
      <c r="Q506">
        <v>9896</v>
      </c>
      <c r="R506">
        <v>3958.4</v>
      </c>
      <c r="S506">
        <v>242</v>
      </c>
      <c r="T506" s="6">
        <v>510.71999999999997</v>
      </c>
      <c r="U506" t="s">
        <v>157</v>
      </c>
      <c r="V506" t="s">
        <v>1682</v>
      </c>
      <c r="W506" t="s">
        <v>1687</v>
      </c>
      <c r="X506" t="s">
        <v>1683</v>
      </c>
      <c r="Y506" t="s">
        <v>1679</v>
      </c>
      <c r="Z506" t="s">
        <v>1684</v>
      </c>
      <c r="AA506" t="s">
        <v>1567</v>
      </c>
      <c r="AB506">
        <v>80</v>
      </c>
      <c r="AC506">
        <v>31</v>
      </c>
      <c r="AE506">
        <v>118</v>
      </c>
      <c r="AH506" t="s">
        <v>98</v>
      </c>
    </row>
    <row r="507" spans="1:34" x14ac:dyDescent="0.25">
      <c r="A507">
        <v>506</v>
      </c>
      <c r="B507" s="5">
        <v>508564399</v>
      </c>
      <c r="C507" s="5">
        <v>53711524927</v>
      </c>
      <c r="D507">
        <v>5637</v>
      </c>
      <c r="E507" s="1" t="s">
        <v>1688</v>
      </c>
      <c r="F507" t="s">
        <v>1568</v>
      </c>
      <c r="G507" t="s">
        <v>1569</v>
      </c>
      <c r="H507">
        <v>30431</v>
      </c>
      <c r="I507">
        <v>44315832</v>
      </c>
      <c r="L507" s="2">
        <v>37001</v>
      </c>
      <c r="M507" s="3">
        <f t="shared" si="7"/>
        <v>2001</v>
      </c>
      <c r="N507" s="2" t="s">
        <v>28</v>
      </c>
      <c r="O507">
        <v>220</v>
      </c>
      <c r="P507" s="6">
        <v>22506</v>
      </c>
      <c r="Q507">
        <v>11253</v>
      </c>
      <c r="R507">
        <v>4501.2</v>
      </c>
      <c r="S507">
        <v>286</v>
      </c>
      <c r="T507" s="6">
        <v>739.19999999999993</v>
      </c>
      <c r="U507" t="s">
        <v>44</v>
      </c>
      <c r="V507" t="s">
        <v>1682</v>
      </c>
      <c r="W507" t="s">
        <v>1681</v>
      </c>
      <c r="X507" t="s">
        <v>1683</v>
      </c>
      <c r="Y507" t="s">
        <v>1679</v>
      </c>
      <c r="Z507" t="s">
        <v>1684</v>
      </c>
      <c r="AA507" t="s">
        <v>1570</v>
      </c>
      <c r="AB507">
        <v>65</v>
      </c>
      <c r="AC507">
        <v>8</v>
      </c>
      <c r="AE507">
        <v>188</v>
      </c>
      <c r="AH507" t="s">
        <v>41</v>
      </c>
    </row>
    <row r="508" spans="1:34" x14ac:dyDescent="0.25">
      <c r="A508">
        <v>507</v>
      </c>
      <c r="B508" s="5">
        <v>654411966</v>
      </c>
      <c r="C508" s="5">
        <v>44246436282</v>
      </c>
      <c r="D508">
        <v>7423</v>
      </c>
      <c r="E508" s="1" t="s">
        <v>1689</v>
      </c>
      <c r="F508" t="s">
        <v>1571</v>
      </c>
      <c r="G508" t="s">
        <v>1572</v>
      </c>
      <c r="H508">
        <v>27181</v>
      </c>
      <c r="I508">
        <v>40606591</v>
      </c>
      <c r="L508" s="2">
        <v>35071</v>
      </c>
      <c r="M508" s="3">
        <f t="shared" si="7"/>
        <v>1996</v>
      </c>
      <c r="N508" s="2" t="s">
        <v>28</v>
      </c>
      <c r="O508">
        <v>248</v>
      </c>
      <c r="P508" s="6">
        <v>13725</v>
      </c>
      <c r="Q508">
        <v>6862.5</v>
      </c>
      <c r="R508">
        <v>2745</v>
      </c>
      <c r="S508">
        <v>176</v>
      </c>
      <c r="T508" s="6">
        <v>833.28000000000009</v>
      </c>
      <c r="U508" t="s">
        <v>51</v>
      </c>
      <c r="V508" t="s">
        <v>1682</v>
      </c>
      <c r="W508" t="s">
        <v>1674</v>
      </c>
      <c r="X508" t="s">
        <v>1683</v>
      </c>
      <c r="Y508" t="s">
        <v>1679</v>
      </c>
      <c r="Z508" t="s">
        <v>1684</v>
      </c>
      <c r="AA508" t="s">
        <v>1573</v>
      </c>
      <c r="AB508">
        <v>79</v>
      </c>
      <c r="AC508">
        <v>36</v>
      </c>
      <c r="AE508">
        <v>107</v>
      </c>
      <c r="AH508" t="s">
        <v>31</v>
      </c>
    </row>
    <row r="509" spans="1:34" x14ac:dyDescent="0.25">
      <c r="A509">
        <v>508</v>
      </c>
      <c r="B509" s="5">
        <v>437668993</v>
      </c>
      <c r="C509" s="5">
        <v>90730378349</v>
      </c>
      <c r="D509">
        <v>1558</v>
      </c>
      <c r="E509" s="1" t="s">
        <v>1688</v>
      </c>
      <c r="F509" t="s">
        <v>1574</v>
      </c>
      <c r="G509" t="s">
        <v>1575</v>
      </c>
      <c r="H509">
        <v>28474</v>
      </c>
      <c r="I509">
        <v>25921038</v>
      </c>
      <c r="L509" s="2">
        <v>39605</v>
      </c>
      <c r="M509" s="3">
        <f t="shared" si="7"/>
        <v>2008</v>
      </c>
      <c r="N509" s="2">
        <v>43105</v>
      </c>
      <c r="O509">
        <v>186</v>
      </c>
      <c r="P509" s="6">
        <v>19255</v>
      </c>
      <c r="Q509">
        <v>9627.5</v>
      </c>
      <c r="R509">
        <v>3851</v>
      </c>
      <c r="S509">
        <v>286</v>
      </c>
      <c r="T509" s="6">
        <v>624.96</v>
      </c>
      <c r="U509" t="s">
        <v>64</v>
      </c>
      <c r="V509" t="s">
        <v>1682</v>
      </c>
      <c r="W509" t="s">
        <v>1685</v>
      </c>
      <c r="X509" t="s">
        <v>1683</v>
      </c>
      <c r="Y509" t="s">
        <v>1679</v>
      </c>
      <c r="Z509" t="s">
        <v>1684</v>
      </c>
      <c r="AA509" t="s">
        <v>1576</v>
      </c>
      <c r="AB509">
        <v>70</v>
      </c>
      <c r="AC509">
        <v>60</v>
      </c>
      <c r="AE509">
        <v>151</v>
      </c>
      <c r="AH509" t="s">
        <v>57</v>
      </c>
    </row>
    <row r="510" spans="1:34" x14ac:dyDescent="0.25">
      <c r="A510">
        <v>509</v>
      </c>
      <c r="B510" s="5">
        <v>672059506</v>
      </c>
      <c r="C510" s="5">
        <v>26894389692</v>
      </c>
      <c r="D510">
        <v>4027</v>
      </c>
      <c r="E510" s="1" t="s">
        <v>1689</v>
      </c>
      <c r="F510" t="s">
        <v>1577</v>
      </c>
      <c r="G510" t="s">
        <v>1578</v>
      </c>
      <c r="H510">
        <v>28169</v>
      </c>
      <c r="I510">
        <v>26986587</v>
      </c>
      <c r="L510" s="2">
        <v>36659</v>
      </c>
      <c r="M510" s="3">
        <f t="shared" si="7"/>
        <v>2000</v>
      </c>
      <c r="N510" s="2">
        <v>36909</v>
      </c>
      <c r="O510">
        <v>178</v>
      </c>
      <c r="P510" s="6">
        <v>8085</v>
      </c>
      <c r="Q510">
        <v>4042.5</v>
      </c>
      <c r="R510">
        <v>1617</v>
      </c>
      <c r="S510">
        <v>242</v>
      </c>
      <c r="T510" s="6">
        <v>598.07999999999993</v>
      </c>
      <c r="U510" t="s">
        <v>140</v>
      </c>
      <c r="V510" t="s">
        <v>1682</v>
      </c>
      <c r="W510" t="s">
        <v>1678</v>
      </c>
      <c r="X510" t="s">
        <v>1683</v>
      </c>
      <c r="Y510" t="s">
        <v>1679</v>
      </c>
      <c r="Z510" t="s">
        <v>1684</v>
      </c>
      <c r="AA510" t="s">
        <v>1579</v>
      </c>
      <c r="AB510">
        <v>26</v>
      </c>
      <c r="AC510">
        <v>5</v>
      </c>
      <c r="AE510">
        <v>61</v>
      </c>
      <c r="AH510" t="s">
        <v>36</v>
      </c>
    </row>
    <row r="511" spans="1:34" x14ac:dyDescent="0.25">
      <c r="A511">
        <v>510</v>
      </c>
      <c r="B511" s="5">
        <v>900385854</v>
      </c>
      <c r="C511" s="5">
        <v>34338608047</v>
      </c>
      <c r="D511">
        <v>7846</v>
      </c>
      <c r="E511" s="1" t="s">
        <v>1689</v>
      </c>
      <c r="F511" t="s">
        <v>1580</v>
      </c>
      <c r="G511" t="s">
        <v>1581</v>
      </c>
      <c r="H511">
        <v>36308</v>
      </c>
      <c r="I511">
        <v>20768418</v>
      </c>
      <c r="L511" s="2">
        <v>42878</v>
      </c>
      <c r="M511" s="3">
        <f t="shared" si="7"/>
        <v>2017</v>
      </c>
      <c r="N511" s="2" t="s">
        <v>28</v>
      </c>
      <c r="O511">
        <v>198</v>
      </c>
      <c r="P511" s="6">
        <v>15934</v>
      </c>
      <c r="Q511">
        <v>7967</v>
      </c>
      <c r="R511">
        <v>3186.8</v>
      </c>
      <c r="S511">
        <v>154</v>
      </c>
      <c r="T511" s="6">
        <v>665.28000000000009</v>
      </c>
      <c r="U511" t="s">
        <v>168</v>
      </c>
      <c r="V511" t="s">
        <v>1677</v>
      </c>
      <c r="W511" t="s">
        <v>1687</v>
      </c>
      <c r="X511" t="s">
        <v>1675</v>
      </c>
      <c r="Y511" t="s">
        <v>1679</v>
      </c>
      <c r="Z511" t="s">
        <v>1680</v>
      </c>
      <c r="AA511" t="s">
        <v>1582</v>
      </c>
      <c r="AB511">
        <v>139</v>
      </c>
      <c r="AC511">
        <v>45</v>
      </c>
      <c r="AE511">
        <v>131</v>
      </c>
      <c r="AH511" t="s">
        <v>98</v>
      </c>
    </row>
    <row r="512" spans="1:34" x14ac:dyDescent="0.25">
      <c r="A512">
        <v>511</v>
      </c>
      <c r="B512" s="5">
        <v>327053187</v>
      </c>
      <c r="C512" s="3">
        <v>5294941955</v>
      </c>
      <c r="D512">
        <v>6604</v>
      </c>
      <c r="E512" s="1" t="s">
        <v>1689</v>
      </c>
      <c r="F512" t="s">
        <v>1583</v>
      </c>
      <c r="G512" t="s">
        <v>1584</v>
      </c>
      <c r="H512">
        <v>30023</v>
      </c>
      <c r="I512">
        <v>49448178</v>
      </c>
      <c r="L512" s="2">
        <v>36593</v>
      </c>
      <c r="M512" s="3">
        <f t="shared" si="7"/>
        <v>2000</v>
      </c>
      <c r="N512" s="2" t="s">
        <v>28</v>
      </c>
      <c r="O512">
        <v>194</v>
      </c>
      <c r="P512" s="6">
        <v>4059</v>
      </c>
      <c r="Q512">
        <v>2029.5</v>
      </c>
      <c r="R512">
        <v>811.80000000000007</v>
      </c>
      <c r="S512">
        <v>308</v>
      </c>
      <c r="T512" s="6">
        <v>651.84</v>
      </c>
      <c r="U512" t="s">
        <v>150</v>
      </c>
      <c r="V512" t="s">
        <v>1680</v>
      </c>
      <c r="W512" t="s">
        <v>1674</v>
      </c>
      <c r="X512" t="s">
        <v>1675</v>
      </c>
      <c r="Y512" t="s">
        <v>61</v>
      </c>
      <c r="Z512" t="s">
        <v>1684</v>
      </c>
      <c r="AA512" t="s">
        <v>1585</v>
      </c>
      <c r="AB512">
        <v>86</v>
      </c>
      <c r="AC512">
        <v>9</v>
      </c>
      <c r="AE512">
        <v>109</v>
      </c>
      <c r="AH512" t="s">
        <v>31</v>
      </c>
    </row>
    <row r="513" spans="1:34" x14ac:dyDescent="0.25">
      <c r="A513">
        <v>512</v>
      </c>
      <c r="B513" s="5">
        <v>788739752</v>
      </c>
      <c r="C513" s="5">
        <v>99951511054</v>
      </c>
      <c r="D513">
        <v>2404</v>
      </c>
      <c r="E513" s="1" t="s">
        <v>1689</v>
      </c>
      <c r="F513" t="s">
        <v>1586</v>
      </c>
      <c r="G513" t="s">
        <v>1587</v>
      </c>
      <c r="H513">
        <v>30573</v>
      </c>
      <c r="I513">
        <v>23634331</v>
      </c>
      <c r="L513" s="2">
        <v>41886</v>
      </c>
      <c r="M513" s="3">
        <f t="shared" si="7"/>
        <v>2014</v>
      </c>
      <c r="N513" s="2" t="s">
        <v>28</v>
      </c>
      <c r="O513">
        <v>190</v>
      </c>
      <c r="P513" s="6">
        <v>1410</v>
      </c>
      <c r="Q513">
        <v>705</v>
      </c>
      <c r="R513">
        <v>282</v>
      </c>
      <c r="S513">
        <v>154</v>
      </c>
      <c r="T513" s="6">
        <v>638.4</v>
      </c>
      <c r="U513" t="s">
        <v>64</v>
      </c>
      <c r="V513" t="s">
        <v>1682</v>
      </c>
      <c r="W513" t="s">
        <v>1685</v>
      </c>
      <c r="X513" t="s">
        <v>1683</v>
      </c>
      <c r="Y513" t="s">
        <v>1679</v>
      </c>
      <c r="Z513" t="s">
        <v>1684</v>
      </c>
      <c r="AA513" t="s">
        <v>1588</v>
      </c>
      <c r="AB513">
        <v>34</v>
      </c>
      <c r="AC513">
        <v>29</v>
      </c>
      <c r="AE513">
        <v>94</v>
      </c>
      <c r="AH513" t="s">
        <v>57</v>
      </c>
    </row>
    <row r="514" spans="1:34" x14ac:dyDescent="0.25">
      <c r="A514">
        <v>513</v>
      </c>
      <c r="B514" s="5">
        <v>314022078</v>
      </c>
      <c r="C514" s="5">
        <v>44809174881</v>
      </c>
      <c r="D514">
        <v>4157</v>
      </c>
      <c r="E514" s="1" t="s">
        <v>1689</v>
      </c>
      <c r="F514" t="s">
        <v>240</v>
      </c>
      <c r="G514" t="s">
        <v>241</v>
      </c>
      <c r="H514">
        <v>33367</v>
      </c>
      <c r="I514">
        <v>20647131</v>
      </c>
      <c r="L514" s="2">
        <v>39937</v>
      </c>
      <c r="M514" s="3">
        <f t="shared" si="7"/>
        <v>2009</v>
      </c>
      <c r="N514" s="2" t="s">
        <v>28</v>
      </c>
      <c r="O514">
        <v>173</v>
      </c>
      <c r="P514" s="6">
        <v>6455</v>
      </c>
      <c r="Q514">
        <v>3227.5</v>
      </c>
      <c r="R514">
        <v>1291</v>
      </c>
      <c r="S514">
        <v>154</v>
      </c>
      <c r="T514" s="6">
        <v>581.28000000000009</v>
      </c>
      <c r="U514" t="s">
        <v>68</v>
      </c>
      <c r="V514" t="s">
        <v>1686</v>
      </c>
      <c r="W514" t="s">
        <v>1681</v>
      </c>
      <c r="X514" t="s">
        <v>1683</v>
      </c>
      <c r="Y514" t="s">
        <v>1679</v>
      </c>
      <c r="Z514" t="s">
        <v>1684</v>
      </c>
      <c r="AA514" t="s">
        <v>1589</v>
      </c>
      <c r="AB514">
        <v>32</v>
      </c>
      <c r="AC514">
        <v>59</v>
      </c>
      <c r="AE514">
        <v>8</v>
      </c>
      <c r="AH514" t="s">
        <v>41</v>
      </c>
    </row>
    <row r="515" spans="1:34" x14ac:dyDescent="0.25">
      <c r="A515">
        <v>514</v>
      </c>
      <c r="B515" s="5">
        <v>554710395</v>
      </c>
      <c r="C515" s="3">
        <v>7583432285</v>
      </c>
      <c r="D515">
        <v>4633</v>
      </c>
      <c r="E515" s="1" t="s">
        <v>1688</v>
      </c>
      <c r="F515" t="s">
        <v>1590</v>
      </c>
      <c r="G515" t="s">
        <v>1591</v>
      </c>
      <c r="H515">
        <v>30194</v>
      </c>
      <c r="I515">
        <v>36968950</v>
      </c>
      <c r="L515" s="2">
        <v>41548</v>
      </c>
      <c r="M515" s="3">
        <f t="shared" ref="M515:M540" si="8">YEAR(L515)</f>
        <v>2013</v>
      </c>
      <c r="N515" s="2" t="s">
        <v>28</v>
      </c>
      <c r="O515">
        <v>245</v>
      </c>
      <c r="P515" s="6">
        <v>3505</v>
      </c>
      <c r="Q515">
        <v>1752.5</v>
      </c>
      <c r="R515">
        <v>701</v>
      </c>
      <c r="S515">
        <v>220</v>
      </c>
      <c r="T515" s="6">
        <v>823.19999999999993</v>
      </c>
      <c r="U515" t="s">
        <v>168</v>
      </c>
      <c r="V515" t="s">
        <v>1677</v>
      </c>
      <c r="W515" t="s">
        <v>1687</v>
      </c>
      <c r="X515" t="s">
        <v>1675</v>
      </c>
      <c r="Y515" t="s">
        <v>1679</v>
      </c>
      <c r="Z515" t="s">
        <v>1680</v>
      </c>
      <c r="AA515" t="s">
        <v>1592</v>
      </c>
      <c r="AB515">
        <v>27</v>
      </c>
      <c r="AC515">
        <v>49</v>
      </c>
      <c r="AE515">
        <v>113</v>
      </c>
      <c r="AH515" t="s">
        <v>98</v>
      </c>
    </row>
    <row r="516" spans="1:34" x14ac:dyDescent="0.25">
      <c r="A516">
        <v>515</v>
      </c>
      <c r="B516" s="5">
        <v>529249286</v>
      </c>
      <c r="C516" s="5">
        <v>61226558260</v>
      </c>
      <c r="D516">
        <v>3915</v>
      </c>
      <c r="E516" s="1" t="s">
        <v>1688</v>
      </c>
      <c r="F516" t="s">
        <v>1593</v>
      </c>
      <c r="G516" t="s">
        <v>1594</v>
      </c>
      <c r="H516">
        <v>26274</v>
      </c>
      <c r="I516">
        <v>42975724</v>
      </c>
      <c r="L516" s="2">
        <v>38568</v>
      </c>
      <c r="M516" s="3">
        <f t="shared" si="8"/>
        <v>2005</v>
      </c>
      <c r="N516" s="2">
        <v>42199</v>
      </c>
      <c r="O516">
        <v>156</v>
      </c>
      <c r="P516" s="6">
        <v>10885</v>
      </c>
      <c r="Q516">
        <v>5442.5</v>
      </c>
      <c r="R516">
        <v>2177</v>
      </c>
      <c r="S516">
        <v>176</v>
      </c>
      <c r="T516" s="6">
        <v>524.16</v>
      </c>
      <c r="U516" t="s">
        <v>157</v>
      </c>
      <c r="V516" t="s">
        <v>1682</v>
      </c>
      <c r="W516" t="s">
        <v>1687</v>
      </c>
      <c r="X516" t="s">
        <v>1683</v>
      </c>
      <c r="Y516" t="s">
        <v>1679</v>
      </c>
      <c r="Z516" t="s">
        <v>1684</v>
      </c>
      <c r="AA516" t="s">
        <v>1595</v>
      </c>
      <c r="AB516">
        <v>149</v>
      </c>
      <c r="AC516">
        <v>21</v>
      </c>
      <c r="AE516">
        <v>120</v>
      </c>
      <c r="AH516" t="s">
        <v>98</v>
      </c>
    </row>
    <row r="517" spans="1:34" x14ac:dyDescent="0.25">
      <c r="A517">
        <v>516</v>
      </c>
      <c r="B517" s="5">
        <v>158937359</v>
      </c>
      <c r="C517" s="5">
        <v>36073984746</v>
      </c>
      <c r="D517">
        <v>6411</v>
      </c>
      <c r="E517" s="1" t="s">
        <v>1688</v>
      </c>
      <c r="F517" t="s">
        <v>1596</v>
      </c>
      <c r="G517" t="s">
        <v>1597</v>
      </c>
      <c r="H517">
        <v>29613</v>
      </c>
      <c r="I517">
        <v>30972933</v>
      </c>
      <c r="L517" s="2">
        <v>36183</v>
      </c>
      <c r="M517" s="3">
        <f t="shared" si="8"/>
        <v>1999</v>
      </c>
      <c r="N517" s="2">
        <v>38060</v>
      </c>
      <c r="O517">
        <v>189</v>
      </c>
      <c r="P517" s="6">
        <v>10136</v>
      </c>
      <c r="Q517">
        <v>5068</v>
      </c>
      <c r="R517">
        <v>2027.2</v>
      </c>
      <c r="S517">
        <v>264</v>
      </c>
      <c r="T517" s="6">
        <v>635.04</v>
      </c>
      <c r="U517" t="s">
        <v>96</v>
      </c>
      <c r="V517" t="s">
        <v>1686</v>
      </c>
      <c r="W517" t="s">
        <v>1687</v>
      </c>
      <c r="X517" t="s">
        <v>1683</v>
      </c>
      <c r="Y517" t="s">
        <v>1679</v>
      </c>
      <c r="Z517" t="s">
        <v>1684</v>
      </c>
      <c r="AA517" t="s">
        <v>1598</v>
      </c>
      <c r="AB517">
        <v>126</v>
      </c>
      <c r="AC517">
        <v>3</v>
      </c>
      <c r="AE517">
        <v>62</v>
      </c>
      <c r="AH517" t="s">
        <v>98</v>
      </c>
    </row>
    <row r="518" spans="1:34" x14ac:dyDescent="0.25">
      <c r="A518">
        <v>517</v>
      </c>
      <c r="B518" s="5">
        <v>296806913</v>
      </c>
      <c r="C518" s="5">
        <v>18870210999</v>
      </c>
      <c r="D518">
        <v>1126</v>
      </c>
      <c r="E518" s="1" t="s">
        <v>1688</v>
      </c>
      <c r="F518" t="s">
        <v>1599</v>
      </c>
      <c r="G518" t="s">
        <v>1600</v>
      </c>
      <c r="H518">
        <v>35322</v>
      </c>
      <c r="I518">
        <v>22600038</v>
      </c>
      <c r="L518" s="2">
        <v>41892</v>
      </c>
      <c r="M518" s="3">
        <f t="shared" si="8"/>
        <v>2014</v>
      </c>
      <c r="N518" s="2" t="s">
        <v>28</v>
      </c>
      <c r="O518">
        <v>212</v>
      </c>
      <c r="P518" s="6">
        <v>18080</v>
      </c>
      <c r="Q518">
        <v>9040</v>
      </c>
      <c r="R518">
        <v>3616</v>
      </c>
      <c r="S518">
        <v>308</v>
      </c>
      <c r="T518" s="6">
        <v>712.32</v>
      </c>
      <c r="U518" t="s">
        <v>140</v>
      </c>
      <c r="V518" t="s">
        <v>1682</v>
      </c>
      <c r="W518" t="s">
        <v>1678</v>
      </c>
      <c r="X518" t="s">
        <v>1683</v>
      </c>
      <c r="Y518" t="s">
        <v>1679</v>
      </c>
      <c r="Z518" t="s">
        <v>1684</v>
      </c>
      <c r="AA518" t="s">
        <v>1601</v>
      </c>
      <c r="AB518">
        <v>42</v>
      </c>
      <c r="AC518">
        <v>7</v>
      </c>
      <c r="AE518">
        <v>12</v>
      </c>
      <c r="AH518" t="s">
        <v>36</v>
      </c>
    </row>
    <row r="519" spans="1:34" x14ac:dyDescent="0.25">
      <c r="A519">
        <v>518</v>
      </c>
      <c r="B519" s="5">
        <v>895045907</v>
      </c>
      <c r="C519" s="3">
        <v>6864440781</v>
      </c>
      <c r="D519">
        <v>5159</v>
      </c>
      <c r="E519" s="1" t="s">
        <v>1689</v>
      </c>
      <c r="F519" t="s">
        <v>1602</v>
      </c>
      <c r="G519" t="s">
        <v>1603</v>
      </c>
      <c r="H519">
        <v>35106</v>
      </c>
      <c r="I519">
        <v>32984429</v>
      </c>
      <c r="L519" s="2">
        <v>41676</v>
      </c>
      <c r="M519" s="3">
        <f t="shared" si="8"/>
        <v>2014</v>
      </c>
      <c r="N519" s="2" t="s">
        <v>28</v>
      </c>
      <c r="O519">
        <v>244</v>
      </c>
      <c r="P519" s="6">
        <v>6652</v>
      </c>
      <c r="Q519">
        <v>3326</v>
      </c>
      <c r="R519">
        <v>1330.4</v>
      </c>
      <c r="S519">
        <v>308</v>
      </c>
      <c r="T519" s="6">
        <v>819.84</v>
      </c>
      <c r="U519" t="s">
        <v>168</v>
      </c>
      <c r="V519" t="s">
        <v>1677</v>
      </c>
      <c r="W519" t="s">
        <v>1687</v>
      </c>
      <c r="X519" t="s">
        <v>1675</v>
      </c>
      <c r="Y519" t="s">
        <v>1679</v>
      </c>
      <c r="Z519" t="s">
        <v>1680</v>
      </c>
      <c r="AA519" t="s">
        <v>1604</v>
      </c>
      <c r="AB519">
        <v>68</v>
      </c>
      <c r="AC519">
        <v>3</v>
      </c>
      <c r="AE519">
        <v>14</v>
      </c>
      <c r="AF519">
        <v>177</v>
      </c>
      <c r="AH519" t="s">
        <v>98</v>
      </c>
    </row>
    <row r="520" spans="1:34" x14ac:dyDescent="0.25">
      <c r="A520">
        <v>519</v>
      </c>
      <c r="B520" s="5">
        <v>291183378</v>
      </c>
      <c r="C520" s="3">
        <v>1425235998</v>
      </c>
      <c r="D520">
        <v>6099</v>
      </c>
      <c r="E520" s="1" t="s">
        <v>1689</v>
      </c>
      <c r="F520" t="s">
        <v>1605</v>
      </c>
      <c r="G520" t="s">
        <v>1606</v>
      </c>
      <c r="H520">
        <v>30989</v>
      </c>
      <c r="I520">
        <v>27050144</v>
      </c>
      <c r="L520" s="2">
        <v>41343</v>
      </c>
      <c r="M520" s="3">
        <f t="shared" si="8"/>
        <v>2013</v>
      </c>
      <c r="N520" s="2" t="s">
        <v>28</v>
      </c>
      <c r="O520">
        <v>232</v>
      </c>
      <c r="P520" s="6">
        <v>4487</v>
      </c>
      <c r="Q520">
        <v>2243.5</v>
      </c>
      <c r="R520">
        <v>897.40000000000009</v>
      </c>
      <c r="S520">
        <v>242</v>
      </c>
      <c r="T520" s="6">
        <v>779.52</v>
      </c>
      <c r="U520" t="s">
        <v>446</v>
      </c>
      <c r="V520" t="s">
        <v>1680</v>
      </c>
      <c r="W520" t="s">
        <v>1685</v>
      </c>
      <c r="X520" t="s">
        <v>1675</v>
      </c>
      <c r="Y520" t="s">
        <v>61</v>
      </c>
      <c r="Z520" t="s">
        <v>1676</v>
      </c>
      <c r="AA520" t="s">
        <v>1607</v>
      </c>
      <c r="AB520">
        <v>69</v>
      </c>
      <c r="AC520">
        <v>41</v>
      </c>
      <c r="AE520">
        <v>58</v>
      </c>
      <c r="AH520" t="s">
        <v>57</v>
      </c>
    </row>
    <row r="521" spans="1:34" x14ac:dyDescent="0.25">
      <c r="A521">
        <v>520</v>
      </c>
      <c r="B521" s="5">
        <v>942888625</v>
      </c>
      <c r="C521" s="5">
        <v>65848718595</v>
      </c>
      <c r="D521">
        <v>6153</v>
      </c>
      <c r="E521" s="1" t="s">
        <v>1689</v>
      </c>
      <c r="F521" t="s">
        <v>1608</v>
      </c>
      <c r="G521" t="s">
        <v>1609</v>
      </c>
      <c r="H521">
        <v>35399</v>
      </c>
      <c r="I521">
        <v>43212305</v>
      </c>
      <c r="L521" s="2">
        <v>41969</v>
      </c>
      <c r="M521" s="3">
        <f t="shared" si="8"/>
        <v>2014</v>
      </c>
      <c r="N521" s="2" t="s">
        <v>28</v>
      </c>
      <c r="O521">
        <v>176</v>
      </c>
      <c r="P521" s="6">
        <v>10313</v>
      </c>
      <c r="Q521">
        <v>5156.5</v>
      </c>
      <c r="R521">
        <v>2062.6</v>
      </c>
      <c r="S521">
        <v>220</v>
      </c>
      <c r="T521" s="6">
        <v>591.36</v>
      </c>
      <c r="U521" t="s">
        <v>44</v>
      </c>
      <c r="V521" t="s">
        <v>1682</v>
      </c>
      <c r="W521" t="s">
        <v>1681</v>
      </c>
      <c r="X521" t="s">
        <v>1683</v>
      </c>
      <c r="Y521" t="s">
        <v>1679</v>
      </c>
      <c r="Z521" t="s">
        <v>1684</v>
      </c>
      <c r="AA521" t="s">
        <v>1610</v>
      </c>
      <c r="AB521">
        <v>111</v>
      </c>
      <c r="AC521">
        <v>3</v>
      </c>
      <c r="AE521">
        <v>166</v>
      </c>
      <c r="AH521" t="s">
        <v>41</v>
      </c>
    </row>
    <row r="522" spans="1:34" x14ac:dyDescent="0.25">
      <c r="A522">
        <v>521</v>
      </c>
      <c r="B522" s="5">
        <v>978537053</v>
      </c>
      <c r="C522" s="5">
        <v>58779311477</v>
      </c>
      <c r="D522">
        <v>6542</v>
      </c>
      <c r="E522" s="1" t="s">
        <v>1688</v>
      </c>
      <c r="F522" t="s">
        <v>1611</v>
      </c>
      <c r="G522" t="s">
        <v>1612</v>
      </c>
      <c r="H522">
        <v>34604</v>
      </c>
      <c r="I522">
        <v>47974844</v>
      </c>
      <c r="L522" s="2">
        <v>41174</v>
      </c>
      <c r="M522" s="3">
        <f t="shared" si="8"/>
        <v>2012</v>
      </c>
      <c r="N522" s="2" t="s">
        <v>28</v>
      </c>
      <c r="O522">
        <v>179</v>
      </c>
      <c r="P522" s="6">
        <v>11403</v>
      </c>
      <c r="Q522">
        <v>5701.5</v>
      </c>
      <c r="R522">
        <v>2280.6</v>
      </c>
      <c r="S522">
        <v>198</v>
      </c>
      <c r="T522" s="6">
        <v>601.44000000000005</v>
      </c>
      <c r="U522" t="s">
        <v>39</v>
      </c>
      <c r="V522" t="s">
        <v>1677</v>
      </c>
      <c r="W522" t="s">
        <v>1681</v>
      </c>
      <c r="X522" t="s">
        <v>1675</v>
      </c>
      <c r="Y522" t="s">
        <v>1679</v>
      </c>
      <c r="Z522" t="s">
        <v>1680</v>
      </c>
      <c r="AA522" t="s">
        <v>1613</v>
      </c>
      <c r="AB522">
        <v>78</v>
      </c>
      <c r="AC522">
        <v>5</v>
      </c>
      <c r="AE522">
        <v>83</v>
      </c>
      <c r="AH522" t="s">
        <v>41</v>
      </c>
    </row>
    <row r="523" spans="1:34" x14ac:dyDescent="0.25">
      <c r="A523">
        <v>522</v>
      </c>
      <c r="B523" s="5">
        <v>447186324</v>
      </c>
      <c r="C523" s="5">
        <v>77875037290</v>
      </c>
      <c r="D523">
        <v>4781</v>
      </c>
      <c r="E523" s="1" t="s">
        <v>1689</v>
      </c>
      <c r="F523" t="s">
        <v>1614</v>
      </c>
      <c r="G523" t="s">
        <v>1615</v>
      </c>
      <c r="H523">
        <v>32955</v>
      </c>
      <c r="I523">
        <v>32518801</v>
      </c>
      <c r="L523" s="2">
        <v>42408</v>
      </c>
      <c r="M523" s="3">
        <f t="shared" si="8"/>
        <v>2016</v>
      </c>
      <c r="N523" s="2">
        <v>43105</v>
      </c>
      <c r="O523">
        <v>173</v>
      </c>
      <c r="P523" s="6">
        <v>24566</v>
      </c>
      <c r="Q523">
        <v>12283</v>
      </c>
      <c r="R523">
        <v>4913.2000000000007</v>
      </c>
      <c r="S523">
        <v>154</v>
      </c>
      <c r="T523" s="6">
        <v>581.28000000000009</v>
      </c>
      <c r="U523" t="s">
        <v>39</v>
      </c>
      <c r="V523" t="s">
        <v>1677</v>
      </c>
      <c r="W523" t="s">
        <v>1681</v>
      </c>
      <c r="X523" t="s">
        <v>1675</v>
      </c>
      <c r="Y523" t="s">
        <v>1679</v>
      </c>
      <c r="Z523" t="s">
        <v>1680</v>
      </c>
      <c r="AA523" t="s">
        <v>1616</v>
      </c>
      <c r="AB523">
        <v>129</v>
      </c>
      <c r="AC523">
        <v>53</v>
      </c>
      <c r="AE523">
        <v>188</v>
      </c>
      <c r="AH523" t="s">
        <v>41</v>
      </c>
    </row>
    <row r="524" spans="1:34" x14ac:dyDescent="0.25">
      <c r="A524">
        <v>523</v>
      </c>
      <c r="B524" s="5">
        <v>269282574</v>
      </c>
      <c r="C524" s="5">
        <v>34537664161</v>
      </c>
      <c r="D524">
        <v>3743</v>
      </c>
      <c r="E524" s="1" t="s">
        <v>1688</v>
      </c>
      <c r="F524" t="s">
        <v>1617</v>
      </c>
      <c r="G524" t="s">
        <v>1618</v>
      </c>
      <c r="H524">
        <v>30119</v>
      </c>
      <c r="I524">
        <v>26164321</v>
      </c>
      <c r="L524" s="2">
        <v>41623</v>
      </c>
      <c r="M524" s="3">
        <f t="shared" si="8"/>
        <v>2013</v>
      </c>
      <c r="N524" s="2" t="s">
        <v>28</v>
      </c>
      <c r="O524">
        <v>172</v>
      </c>
      <c r="P524" s="6">
        <v>3224</v>
      </c>
      <c r="Q524">
        <v>1612</v>
      </c>
      <c r="R524">
        <v>644.80000000000007</v>
      </c>
      <c r="S524">
        <v>242</v>
      </c>
      <c r="T524" s="6">
        <v>577.92000000000007</v>
      </c>
      <c r="U524" t="s">
        <v>51</v>
      </c>
      <c r="V524" t="s">
        <v>1682</v>
      </c>
      <c r="W524" t="s">
        <v>1674</v>
      </c>
      <c r="X524" t="s">
        <v>1683</v>
      </c>
      <c r="Y524" t="s">
        <v>1679</v>
      </c>
      <c r="Z524" t="s">
        <v>1684</v>
      </c>
      <c r="AA524" t="s">
        <v>1619</v>
      </c>
      <c r="AB524">
        <v>135</v>
      </c>
      <c r="AC524">
        <v>34</v>
      </c>
      <c r="AE524">
        <v>3</v>
      </c>
      <c r="AH524" t="s">
        <v>31</v>
      </c>
    </row>
    <row r="525" spans="1:34" x14ac:dyDescent="0.25">
      <c r="A525">
        <v>524</v>
      </c>
      <c r="B525" s="5">
        <v>212352012</v>
      </c>
      <c r="C525" s="5">
        <v>62475923475</v>
      </c>
      <c r="D525">
        <v>3024</v>
      </c>
      <c r="E525" s="1" t="s">
        <v>1688</v>
      </c>
      <c r="F525" t="s">
        <v>1620</v>
      </c>
      <c r="G525" t="s">
        <v>1621</v>
      </c>
      <c r="H525">
        <v>32919</v>
      </c>
      <c r="I525">
        <v>36519938</v>
      </c>
      <c r="L525" s="2">
        <v>39489</v>
      </c>
      <c r="M525" s="3">
        <f t="shared" si="8"/>
        <v>2008</v>
      </c>
      <c r="N525" s="2" t="s">
        <v>28</v>
      </c>
      <c r="O525">
        <v>151</v>
      </c>
      <c r="P525" s="6">
        <v>1949</v>
      </c>
      <c r="Q525">
        <v>974.5</v>
      </c>
      <c r="R525">
        <v>389.8</v>
      </c>
      <c r="S525">
        <v>264</v>
      </c>
      <c r="T525" s="6">
        <v>507.36</v>
      </c>
      <c r="U525" t="s">
        <v>29</v>
      </c>
      <c r="V525" t="s">
        <v>1673</v>
      </c>
      <c r="W525" t="s">
        <v>1674</v>
      </c>
      <c r="X525" t="s">
        <v>1675</v>
      </c>
      <c r="Y525" t="s">
        <v>61</v>
      </c>
      <c r="Z525" t="s">
        <v>1676</v>
      </c>
      <c r="AA525" t="s">
        <v>1622</v>
      </c>
      <c r="AB525">
        <v>94</v>
      </c>
      <c r="AC525">
        <v>25</v>
      </c>
      <c r="AE525">
        <v>57</v>
      </c>
      <c r="AH525" t="s">
        <v>31</v>
      </c>
    </row>
    <row r="526" spans="1:34" x14ac:dyDescent="0.25">
      <c r="A526">
        <v>525</v>
      </c>
      <c r="B526" s="5">
        <v>302399152</v>
      </c>
      <c r="C526" s="5">
        <v>86588384096</v>
      </c>
      <c r="D526">
        <v>7313</v>
      </c>
      <c r="E526" s="1" t="s">
        <v>1688</v>
      </c>
      <c r="F526" t="s">
        <v>1623</v>
      </c>
      <c r="G526" t="s">
        <v>1624</v>
      </c>
      <c r="H526">
        <v>28607</v>
      </c>
      <c r="I526">
        <v>49428437</v>
      </c>
      <c r="L526" s="2">
        <v>43002</v>
      </c>
      <c r="M526" s="3">
        <f t="shared" si="8"/>
        <v>2017</v>
      </c>
      <c r="N526" s="2" t="s">
        <v>28</v>
      </c>
      <c r="O526">
        <v>244</v>
      </c>
      <c r="P526" s="6">
        <v>3375</v>
      </c>
      <c r="Q526">
        <v>1687.5</v>
      </c>
      <c r="R526">
        <v>675</v>
      </c>
      <c r="S526">
        <v>308</v>
      </c>
      <c r="T526" s="6">
        <v>819.84</v>
      </c>
      <c r="U526" t="s">
        <v>317</v>
      </c>
      <c r="V526" t="s">
        <v>1680</v>
      </c>
      <c r="W526" t="s">
        <v>1681</v>
      </c>
      <c r="X526" t="s">
        <v>1675</v>
      </c>
      <c r="Y526" t="s">
        <v>61</v>
      </c>
      <c r="Z526" t="s">
        <v>1684</v>
      </c>
      <c r="AA526" t="s">
        <v>1625</v>
      </c>
      <c r="AB526">
        <v>79</v>
      </c>
      <c r="AC526">
        <v>1</v>
      </c>
      <c r="AE526">
        <v>124</v>
      </c>
      <c r="AH526" t="s">
        <v>41</v>
      </c>
    </row>
    <row r="527" spans="1:34" x14ac:dyDescent="0.25">
      <c r="A527">
        <v>526</v>
      </c>
      <c r="B527" s="5">
        <v>789006468</v>
      </c>
      <c r="C527" s="5">
        <v>91504980777</v>
      </c>
      <c r="D527">
        <v>3135</v>
      </c>
      <c r="E527" s="1" t="s">
        <v>1689</v>
      </c>
      <c r="F527" t="s">
        <v>1626</v>
      </c>
      <c r="G527" t="s">
        <v>1627</v>
      </c>
      <c r="H527">
        <v>28526</v>
      </c>
      <c r="I527">
        <v>28852133</v>
      </c>
      <c r="L527" s="2">
        <v>37480</v>
      </c>
      <c r="M527" s="3">
        <f t="shared" si="8"/>
        <v>2002</v>
      </c>
      <c r="N527" s="2" t="s">
        <v>28</v>
      </c>
      <c r="O527">
        <v>215</v>
      </c>
      <c r="P527" s="6">
        <v>3693</v>
      </c>
      <c r="Q527">
        <v>1846.5</v>
      </c>
      <c r="R527">
        <v>738.6</v>
      </c>
      <c r="S527">
        <v>220</v>
      </c>
      <c r="T527" s="6">
        <v>722.4</v>
      </c>
      <c r="U527" t="s">
        <v>164</v>
      </c>
      <c r="V527" t="s">
        <v>1677</v>
      </c>
      <c r="W527" t="s">
        <v>1674</v>
      </c>
      <c r="X527" t="s">
        <v>1675</v>
      </c>
      <c r="Y527" t="s">
        <v>1679</v>
      </c>
      <c r="Z527" t="s">
        <v>1680</v>
      </c>
      <c r="AA527" t="s">
        <v>1628</v>
      </c>
      <c r="AB527">
        <v>88</v>
      </c>
      <c r="AC527">
        <v>9</v>
      </c>
      <c r="AE527">
        <v>118</v>
      </c>
      <c r="AH527" t="s">
        <v>31</v>
      </c>
    </row>
    <row r="528" spans="1:34" x14ac:dyDescent="0.25">
      <c r="A528">
        <v>527</v>
      </c>
      <c r="B528" s="5">
        <v>541170567</v>
      </c>
      <c r="C528" s="5">
        <v>76926775882</v>
      </c>
      <c r="D528">
        <v>3150</v>
      </c>
      <c r="E528" s="1" t="s">
        <v>1689</v>
      </c>
      <c r="F528" t="s">
        <v>1629</v>
      </c>
      <c r="G528" t="s">
        <v>1630</v>
      </c>
      <c r="H528">
        <v>30551</v>
      </c>
      <c r="I528">
        <v>32209610</v>
      </c>
      <c r="L528" s="2">
        <v>37121</v>
      </c>
      <c r="M528" s="3">
        <f t="shared" si="8"/>
        <v>2001</v>
      </c>
      <c r="N528" s="2" t="s">
        <v>28</v>
      </c>
      <c r="O528">
        <v>233</v>
      </c>
      <c r="P528" s="6">
        <v>7092</v>
      </c>
      <c r="Q528">
        <v>3546</v>
      </c>
      <c r="R528">
        <v>1418.4</v>
      </c>
      <c r="S528">
        <v>308</v>
      </c>
      <c r="T528" s="6">
        <v>782.88</v>
      </c>
      <c r="U528" t="s">
        <v>51</v>
      </c>
      <c r="V528" t="s">
        <v>1682</v>
      </c>
      <c r="W528" t="s">
        <v>1674</v>
      </c>
      <c r="X528" t="s">
        <v>1683</v>
      </c>
      <c r="Y528" t="s">
        <v>1679</v>
      </c>
      <c r="Z528" t="s">
        <v>1684</v>
      </c>
      <c r="AA528" t="s">
        <v>1631</v>
      </c>
      <c r="AB528">
        <v>114</v>
      </c>
      <c r="AC528">
        <v>39</v>
      </c>
      <c r="AE528">
        <v>50</v>
      </c>
      <c r="AF528">
        <v>15</v>
      </c>
      <c r="AH528" t="s">
        <v>31</v>
      </c>
    </row>
    <row r="529" spans="1:34" x14ac:dyDescent="0.25">
      <c r="A529">
        <v>528</v>
      </c>
      <c r="B529" s="5">
        <v>489004123</v>
      </c>
      <c r="C529" s="5">
        <v>46111631889</v>
      </c>
      <c r="D529">
        <v>7348</v>
      </c>
      <c r="E529" s="1" t="s">
        <v>1689</v>
      </c>
      <c r="F529" t="s">
        <v>1632</v>
      </c>
      <c r="G529" t="s">
        <v>1633</v>
      </c>
      <c r="H529">
        <v>25584</v>
      </c>
      <c r="I529">
        <v>45930385</v>
      </c>
      <c r="L529" s="2">
        <v>35077</v>
      </c>
      <c r="M529" s="3">
        <f t="shared" si="8"/>
        <v>1996</v>
      </c>
      <c r="N529" s="2" t="s">
        <v>28</v>
      </c>
      <c r="O529">
        <v>248</v>
      </c>
      <c r="P529" s="6">
        <v>17701</v>
      </c>
      <c r="Q529">
        <v>8850.5</v>
      </c>
      <c r="R529">
        <v>3540.2000000000003</v>
      </c>
      <c r="S529">
        <v>198</v>
      </c>
      <c r="T529" s="6">
        <v>833.28000000000009</v>
      </c>
      <c r="U529" t="s">
        <v>172</v>
      </c>
      <c r="V529" t="s">
        <v>1686</v>
      </c>
      <c r="W529" t="s">
        <v>1674</v>
      </c>
      <c r="X529" t="s">
        <v>1683</v>
      </c>
      <c r="Y529" t="s">
        <v>1679</v>
      </c>
      <c r="Z529" t="s">
        <v>1684</v>
      </c>
      <c r="AA529" t="s">
        <v>1634</v>
      </c>
      <c r="AB529">
        <v>119</v>
      </c>
      <c r="AC529">
        <v>30</v>
      </c>
      <c r="AE529">
        <v>62</v>
      </c>
      <c r="AH529" t="s">
        <v>31</v>
      </c>
    </row>
    <row r="530" spans="1:34" x14ac:dyDescent="0.25">
      <c r="A530">
        <v>529</v>
      </c>
      <c r="B530" s="5">
        <v>261816261</v>
      </c>
      <c r="C530" s="3">
        <v>9831992563</v>
      </c>
      <c r="D530">
        <v>2708</v>
      </c>
      <c r="E530" s="1" t="s">
        <v>1688</v>
      </c>
      <c r="F530" t="s">
        <v>1635</v>
      </c>
      <c r="G530" t="s">
        <v>1636</v>
      </c>
      <c r="H530">
        <v>30211</v>
      </c>
      <c r="I530">
        <v>35798998</v>
      </c>
      <c r="L530" s="2">
        <v>42825</v>
      </c>
      <c r="M530" s="3">
        <f t="shared" si="8"/>
        <v>2017</v>
      </c>
      <c r="N530" s="2" t="s">
        <v>28</v>
      </c>
      <c r="O530">
        <v>215</v>
      </c>
      <c r="P530" s="6">
        <v>12127</v>
      </c>
      <c r="Q530">
        <v>6063.5</v>
      </c>
      <c r="R530">
        <v>2425.4</v>
      </c>
      <c r="S530">
        <v>154</v>
      </c>
      <c r="T530" s="6">
        <v>722.4</v>
      </c>
      <c r="U530" t="s">
        <v>39</v>
      </c>
      <c r="V530" t="s">
        <v>1677</v>
      </c>
      <c r="W530" t="s">
        <v>1681</v>
      </c>
      <c r="X530" t="s">
        <v>1675</v>
      </c>
      <c r="Y530" t="s">
        <v>1679</v>
      </c>
      <c r="Z530" t="s">
        <v>1680</v>
      </c>
      <c r="AA530" t="s">
        <v>1637</v>
      </c>
      <c r="AB530">
        <v>143</v>
      </c>
      <c r="AC530">
        <v>52</v>
      </c>
      <c r="AE530">
        <v>147</v>
      </c>
      <c r="AH530" t="s">
        <v>41</v>
      </c>
    </row>
    <row r="531" spans="1:34" x14ac:dyDescent="0.25">
      <c r="A531">
        <v>530</v>
      </c>
      <c r="B531" s="5">
        <v>790071411</v>
      </c>
      <c r="C531" s="5">
        <v>92698612354</v>
      </c>
      <c r="D531">
        <v>5895</v>
      </c>
      <c r="E531" s="1" t="s">
        <v>1688</v>
      </c>
      <c r="F531" t="s">
        <v>1638</v>
      </c>
      <c r="G531" t="s">
        <v>1639</v>
      </c>
      <c r="H531">
        <v>35461</v>
      </c>
      <c r="I531">
        <v>42849643</v>
      </c>
      <c r="L531" s="2">
        <v>42031</v>
      </c>
      <c r="M531" s="3">
        <f t="shared" si="8"/>
        <v>2015</v>
      </c>
      <c r="N531" s="2">
        <v>43105</v>
      </c>
      <c r="O531">
        <v>180</v>
      </c>
      <c r="P531" s="6">
        <v>5299</v>
      </c>
      <c r="Q531">
        <v>2649.5</v>
      </c>
      <c r="R531">
        <v>1059.8</v>
      </c>
      <c r="S531">
        <v>176</v>
      </c>
      <c r="T531" s="6">
        <v>604.80000000000007</v>
      </c>
      <c r="U531" t="s">
        <v>55</v>
      </c>
      <c r="V531" t="s">
        <v>1673</v>
      </c>
      <c r="W531" t="s">
        <v>1685</v>
      </c>
      <c r="X531" t="s">
        <v>1675</v>
      </c>
      <c r="Y531" t="s">
        <v>61</v>
      </c>
      <c r="Z531" t="s">
        <v>1676</v>
      </c>
      <c r="AA531" t="s">
        <v>1640</v>
      </c>
      <c r="AB531">
        <v>143</v>
      </c>
      <c r="AC531">
        <v>59</v>
      </c>
      <c r="AE531">
        <v>172</v>
      </c>
      <c r="AH531" t="s">
        <v>57</v>
      </c>
    </row>
    <row r="532" spans="1:34" x14ac:dyDescent="0.25">
      <c r="A532">
        <v>531</v>
      </c>
      <c r="B532" s="5">
        <v>524024983</v>
      </c>
      <c r="C532" s="5">
        <v>95358890619</v>
      </c>
      <c r="D532">
        <v>3172</v>
      </c>
      <c r="E532" s="1" t="s">
        <v>1689</v>
      </c>
      <c r="F532" t="s">
        <v>1641</v>
      </c>
      <c r="G532" t="s">
        <v>1642</v>
      </c>
      <c r="H532">
        <v>30674</v>
      </c>
      <c r="I532">
        <v>27192903</v>
      </c>
      <c r="L532" s="2">
        <v>40640</v>
      </c>
      <c r="M532" s="3">
        <f t="shared" si="8"/>
        <v>2011</v>
      </c>
      <c r="N532" s="2" t="s">
        <v>28</v>
      </c>
      <c r="O532">
        <v>249</v>
      </c>
      <c r="P532" s="6">
        <v>2963</v>
      </c>
      <c r="Q532">
        <v>1481.5</v>
      </c>
      <c r="R532">
        <v>592.6</v>
      </c>
      <c r="S532">
        <v>198</v>
      </c>
      <c r="T532" s="6">
        <v>836.64</v>
      </c>
      <c r="U532" t="s">
        <v>120</v>
      </c>
      <c r="V532" t="s">
        <v>1673</v>
      </c>
      <c r="W532" t="s">
        <v>1681</v>
      </c>
      <c r="X532" t="s">
        <v>1675</v>
      </c>
      <c r="Y532" t="s">
        <v>61</v>
      </c>
      <c r="Z532" t="s">
        <v>1676</v>
      </c>
      <c r="AA532" t="s">
        <v>1643</v>
      </c>
      <c r="AB532">
        <v>49</v>
      </c>
      <c r="AC532">
        <v>10</v>
      </c>
      <c r="AE532">
        <v>166</v>
      </c>
      <c r="AH532" t="s">
        <v>41</v>
      </c>
    </row>
    <row r="533" spans="1:34" x14ac:dyDescent="0.25">
      <c r="A533">
        <v>532</v>
      </c>
      <c r="B533" s="5">
        <v>401461132</v>
      </c>
      <c r="C533" s="5">
        <v>76210493256</v>
      </c>
      <c r="D533">
        <v>4074</v>
      </c>
      <c r="E533" s="1" t="s">
        <v>1689</v>
      </c>
      <c r="F533" t="s">
        <v>1644</v>
      </c>
      <c r="G533" t="s">
        <v>1645</v>
      </c>
      <c r="H533">
        <v>25701</v>
      </c>
      <c r="I533">
        <v>30139757</v>
      </c>
      <c r="L533" s="2">
        <v>36019</v>
      </c>
      <c r="M533" s="3">
        <f t="shared" si="8"/>
        <v>1998</v>
      </c>
      <c r="N533" s="2">
        <v>37782</v>
      </c>
      <c r="O533">
        <v>176</v>
      </c>
      <c r="P533" s="6">
        <v>21958</v>
      </c>
      <c r="Q533">
        <v>10979</v>
      </c>
      <c r="R533">
        <v>4391.6000000000004</v>
      </c>
      <c r="S533">
        <v>176</v>
      </c>
      <c r="T533" s="6">
        <v>591.36</v>
      </c>
      <c r="U533" t="s">
        <v>96</v>
      </c>
      <c r="V533" t="s">
        <v>1686</v>
      </c>
      <c r="W533" t="s">
        <v>1687</v>
      </c>
      <c r="X533" t="s">
        <v>1683</v>
      </c>
      <c r="Y533" t="s">
        <v>1679</v>
      </c>
      <c r="Z533" t="s">
        <v>1684</v>
      </c>
      <c r="AA533" t="s">
        <v>1646</v>
      </c>
      <c r="AB533">
        <v>117</v>
      </c>
      <c r="AC533">
        <v>23</v>
      </c>
      <c r="AE533">
        <v>70</v>
      </c>
      <c r="AH533" t="s">
        <v>98</v>
      </c>
    </row>
    <row r="534" spans="1:34" x14ac:dyDescent="0.25">
      <c r="A534">
        <v>533</v>
      </c>
      <c r="B534" s="5">
        <v>320166315</v>
      </c>
      <c r="C534" s="5">
        <v>58687062248</v>
      </c>
      <c r="D534">
        <v>4853</v>
      </c>
      <c r="E534" s="1" t="s">
        <v>1688</v>
      </c>
      <c r="F534" t="s">
        <v>1647</v>
      </c>
      <c r="G534" t="s">
        <v>1648</v>
      </c>
      <c r="H534">
        <v>31128</v>
      </c>
      <c r="I534">
        <v>37278455</v>
      </c>
      <c r="L534" s="2">
        <v>38689</v>
      </c>
      <c r="M534" s="3">
        <f t="shared" si="8"/>
        <v>2005</v>
      </c>
      <c r="N534" s="2" t="s">
        <v>28</v>
      </c>
      <c r="O534">
        <v>155</v>
      </c>
      <c r="P534" s="6">
        <v>14058</v>
      </c>
      <c r="Q534">
        <v>7029</v>
      </c>
      <c r="R534">
        <v>2811.6000000000004</v>
      </c>
      <c r="S534">
        <v>220</v>
      </c>
      <c r="T534" s="6">
        <v>520.80000000000007</v>
      </c>
      <c r="U534" t="s">
        <v>39</v>
      </c>
      <c r="V534" t="s">
        <v>1677</v>
      </c>
      <c r="W534" t="s">
        <v>1681</v>
      </c>
      <c r="X534" t="s">
        <v>1675</v>
      </c>
      <c r="Y534" t="s">
        <v>1679</v>
      </c>
      <c r="Z534" t="s">
        <v>1680</v>
      </c>
      <c r="AA534" t="s">
        <v>1649</v>
      </c>
      <c r="AB534">
        <v>32</v>
      </c>
      <c r="AC534">
        <v>41</v>
      </c>
      <c r="AE534">
        <v>174</v>
      </c>
      <c r="AH534" t="s">
        <v>41</v>
      </c>
    </row>
    <row r="535" spans="1:34" x14ac:dyDescent="0.25">
      <c r="A535">
        <v>534</v>
      </c>
      <c r="B535" s="5">
        <v>785803477</v>
      </c>
      <c r="C535" s="5">
        <v>96855777753</v>
      </c>
      <c r="D535">
        <v>6239</v>
      </c>
      <c r="E535" s="1" t="s">
        <v>1688</v>
      </c>
      <c r="F535" t="s">
        <v>1650</v>
      </c>
      <c r="G535" t="s">
        <v>1651</v>
      </c>
      <c r="H535">
        <v>27830</v>
      </c>
      <c r="I535">
        <v>43864344</v>
      </c>
      <c r="L535" s="2">
        <v>36786</v>
      </c>
      <c r="M535" s="3">
        <f t="shared" si="8"/>
        <v>2000</v>
      </c>
      <c r="N535" s="2" t="s">
        <v>28</v>
      </c>
      <c r="O535">
        <v>150</v>
      </c>
      <c r="P535" s="6">
        <v>3934</v>
      </c>
      <c r="Q535">
        <v>1967</v>
      </c>
      <c r="R535">
        <v>786.80000000000007</v>
      </c>
      <c r="S535">
        <v>264</v>
      </c>
      <c r="T535" s="6">
        <v>504</v>
      </c>
      <c r="U535" t="s">
        <v>140</v>
      </c>
      <c r="V535" t="s">
        <v>1682</v>
      </c>
      <c r="W535" t="s">
        <v>1678</v>
      </c>
      <c r="X535" t="s">
        <v>1683</v>
      </c>
      <c r="Y535" t="s">
        <v>1679</v>
      </c>
      <c r="Z535" t="s">
        <v>1684</v>
      </c>
      <c r="AA535" t="s">
        <v>1652</v>
      </c>
      <c r="AB535">
        <v>146</v>
      </c>
      <c r="AC535">
        <v>13</v>
      </c>
      <c r="AE535">
        <v>117</v>
      </c>
      <c r="AH535" t="s">
        <v>36</v>
      </c>
    </row>
    <row r="536" spans="1:34" x14ac:dyDescent="0.25">
      <c r="A536">
        <v>535</v>
      </c>
      <c r="B536" s="5">
        <v>195532101</v>
      </c>
      <c r="C536" s="3">
        <v>2439810843</v>
      </c>
      <c r="D536">
        <v>5239</v>
      </c>
      <c r="E536" s="1" t="s">
        <v>1688</v>
      </c>
      <c r="F536" t="s">
        <v>1653</v>
      </c>
      <c r="G536" t="s">
        <v>1654</v>
      </c>
      <c r="H536">
        <v>29034</v>
      </c>
      <c r="I536">
        <v>45499870</v>
      </c>
      <c r="L536" s="2">
        <v>37330</v>
      </c>
      <c r="M536" s="3">
        <f t="shared" si="8"/>
        <v>2002</v>
      </c>
      <c r="N536" s="2" t="s">
        <v>28</v>
      </c>
      <c r="O536">
        <v>170</v>
      </c>
      <c r="P536" s="6">
        <v>21622</v>
      </c>
      <c r="Q536">
        <v>10811</v>
      </c>
      <c r="R536">
        <v>4324.4000000000005</v>
      </c>
      <c r="S536">
        <v>286</v>
      </c>
      <c r="T536" s="6">
        <v>571.19999999999993</v>
      </c>
      <c r="U536" t="s">
        <v>140</v>
      </c>
      <c r="V536" t="s">
        <v>1682</v>
      </c>
      <c r="W536" t="s">
        <v>1678</v>
      </c>
      <c r="X536" t="s">
        <v>1683</v>
      </c>
      <c r="Y536" t="s">
        <v>1679</v>
      </c>
      <c r="Z536" t="s">
        <v>1684</v>
      </c>
      <c r="AA536" t="s">
        <v>1655</v>
      </c>
      <c r="AB536">
        <v>55</v>
      </c>
      <c r="AC536">
        <v>57</v>
      </c>
      <c r="AE536">
        <v>88</v>
      </c>
      <c r="AH536" t="s">
        <v>36</v>
      </c>
    </row>
    <row r="537" spans="1:34" x14ac:dyDescent="0.25">
      <c r="A537">
        <v>536</v>
      </c>
      <c r="B537" s="5">
        <v>486535229</v>
      </c>
      <c r="C537" s="3">
        <v>4764050200</v>
      </c>
      <c r="D537">
        <v>3572</v>
      </c>
      <c r="E537" s="1" t="s">
        <v>1688</v>
      </c>
      <c r="F537" t="s">
        <v>1656</v>
      </c>
      <c r="G537" t="s">
        <v>1657</v>
      </c>
      <c r="H537">
        <v>33916</v>
      </c>
      <c r="I537">
        <v>21517794</v>
      </c>
      <c r="L537" s="2">
        <v>41578</v>
      </c>
      <c r="M537" s="3">
        <f t="shared" si="8"/>
        <v>2013</v>
      </c>
      <c r="N537" s="2" t="s">
        <v>28</v>
      </c>
      <c r="O537">
        <v>173</v>
      </c>
      <c r="P537" s="6">
        <v>7552</v>
      </c>
      <c r="Q537">
        <v>3776</v>
      </c>
      <c r="R537">
        <v>1510.4</v>
      </c>
      <c r="S537">
        <v>154</v>
      </c>
      <c r="T537" s="6">
        <v>581.28000000000009</v>
      </c>
      <c r="U537" t="s">
        <v>157</v>
      </c>
      <c r="V537" t="s">
        <v>1682</v>
      </c>
      <c r="W537" t="s">
        <v>1687</v>
      </c>
      <c r="X537" t="s">
        <v>1683</v>
      </c>
      <c r="Y537" t="s">
        <v>1679</v>
      </c>
      <c r="Z537" t="s">
        <v>1684</v>
      </c>
      <c r="AA537" t="s">
        <v>1658</v>
      </c>
      <c r="AB537">
        <v>139</v>
      </c>
      <c r="AC537">
        <v>41</v>
      </c>
      <c r="AE537">
        <v>44</v>
      </c>
      <c r="AH537" t="s">
        <v>98</v>
      </c>
    </row>
    <row r="538" spans="1:34" x14ac:dyDescent="0.25">
      <c r="A538">
        <v>537</v>
      </c>
      <c r="B538" s="5">
        <v>981279157</v>
      </c>
      <c r="C538" s="5">
        <v>54115282873</v>
      </c>
      <c r="D538">
        <v>1376</v>
      </c>
      <c r="E538" s="1" t="s">
        <v>1689</v>
      </c>
      <c r="F538" t="s">
        <v>1659</v>
      </c>
      <c r="G538" t="s">
        <v>1660</v>
      </c>
      <c r="H538">
        <v>34170</v>
      </c>
      <c r="I538">
        <v>34689811</v>
      </c>
      <c r="L538" s="2">
        <v>40740</v>
      </c>
      <c r="M538" s="3">
        <f t="shared" si="8"/>
        <v>2011</v>
      </c>
      <c r="N538" s="2" t="s">
        <v>28</v>
      </c>
      <c r="O538">
        <v>154</v>
      </c>
      <c r="P538" s="6">
        <v>1372</v>
      </c>
      <c r="Q538">
        <v>686</v>
      </c>
      <c r="R538">
        <v>274.40000000000003</v>
      </c>
      <c r="S538">
        <v>308</v>
      </c>
      <c r="T538" s="6">
        <v>517.44000000000005</v>
      </c>
      <c r="U538" t="s">
        <v>157</v>
      </c>
      <c r="V538" t="s">
        <v>1682</v>
      </c>
      <c r="W538" t="s">
        <v>1687</v>
      </c>
      <c r="X538" t="s">
        <v>1683</v>
      </c>
      <c r="Y538" t="s">
        <v>1679</v>
      </c>
      <c r="Z538" t="s">
        <v>1684</v>
      </c>
      <c r="AA538" t="s">
        <v>1661</v>
      </c>
      <c r="AB538">
        <v>60</v>
      </c>
      <c r="AC538">
        <v>35</v>
      </c>
      <c r="AE538">
        <v>4</v>
      </c>
      <c r="AH538" t="s">
        <v>98</v>
      </c>
    </row>
    <row r="539" spans="1:34" x14ac:dyDescent="0.25">
      <c r="A539">
        <v>538</v>
      </c>
      <c r="B539" s="5">
        <v>464550454</v>
      </c>
      <c r="C539" s="5">
        <v>16126495226</v>
      </c>
      <c r="D539">
        <v>6269</v>
      </c>
      <c r="E539" s="1" t="s">
        <v>1689</v>
      </c>
      <c r="F539" t="s">
        <v>1662</v>
      </c>
      <c r="G539" t="s">
        <v>1663</v>
      </c>
      <c r="H539">
        <v>32295</v>
      </c>
      <c r="I539">
        <v>31097240</v>
      </c>
      <c r="L539" s="2">
        <v>41496</v>
      </c>
      <c r="M539" s="3">
        <f t="shared" si="8"/>
        <v>2013</v>
      </c>
      <c r="N539" s="2" t="s">
        <v>28</v>
      </c>
      <c r="O539">
        <v>213</v>
      </c>
      <c r="P539" s="6">
        <v>11791</v>
      </c>
      <c r="Q539">
        <v>5895.5</v>
      </c>
      <c r="R539">
        <v>2358.2000000000003</v>
      </c>
      <c r="S539">
        <v>176</v>
      </c>
      <c r="T539" s="6">
        <v>715.68</v>
      </c>
      <c r="U539" t="s">
        <v>55</v>
      </c>
      <c r="V539" t="s">
        <v>1673</v>
      </c>
      <c r="W539" t="s">
        <v>1685</v>
      </c>
      <c r="X539" t="s">
        <v>1675</v>
      </c>
      <c r="Y539" t="s">
        <v>61</v>
      </c>
      <c r="Z539" t="s">
        <v>1676</v>
      </c>
      <c r="AA539" t="s">
        <v>1664</v>
      </c>
      <c r="AB539">
        <v>56</v>
      </c>
      <c r="AC539">
        <v>44</v>
      </c>
      <c r="AE539">
        <v>114</v>
      </c>
      <c r="AH539" t="s">
        <v>57</v>
      </c>
    </row>
    <row r="540" spans="1:34" x14ac:dyDescent="0.25">
      <c r="A540">
        <v>539</v>
      </c>
      <c r="B540" s="5">
        <v>581607230</v>
      </c>
      <c r="C540" s="5">
        <v>53692945235</v>
      </c>
      <c r="D540">
        <v>7334</v>
      </c>
      <c r="E540" s="1" t="s">
        <v>1688</v>
      </c>
      <c r="F540" t="s">
        <v>1665</v>
      </c>
      <c r="G540" t="s">
        <v>1666</v>
      </c>
      <c r="H540">
        <v>25721</v>
      </c>
      <c r="I540">
        <v>46713680</v>
      </c>
      <c r="L540" s="2">
        <v>37868</v>
      </c>
      <c r="M540" s="3">
        <f t="shared" si="8"/>
        <v>2003</v>
      </c>
      <c r="N540" s="2">
        <v>39071</v>
      </c>
      <c r="O540">
        <v>241</v>
      </c>
      <c r="P540" s="6">
        <v>8932</v>
      </c>
      <c r="Q540">
        <v>4466</v>
      </c>
      <c r="R540">
        <v>1786.4</v>
      </c>
      <c r="S540">
        <v>220</v>
      </c>
      <c r="T540" s="6">
        <v>809.76</v>
      </c>
      <c r="U540" t="s">
        <v>127</v>
      </c>
      <c r="V540" t="s">
        <v>1686</v>
      </c>
      <c r="W540" t="s">
        <v>1685</v>
      </c>
      <c r="X540" t="s">
        <v>1683</v>
      </c>
      <c r="Y540" t="s">
        <v>1679</v>
      </c>
      <c r="Z540" t="s">
        <v>1684</v>
      </c>
      <c r="AA540" t="s">
        <v>1667</v>
      </c>
      <c r="AB540">
        <v>114</v>
      </c>
      <c r="AC540">
        <v>58</v>
      </c>
      <c r="AE540">
        <v>142</v>
      </c>
      <c r="AH540" t="s">
        <v>57</v>
      </c>
    </row>
    <row r="541" spans="1:34" x14ac:dyDescent="0.25">
      <c r="P541" s="6">
        <f>AVERAGE(P2:P540)</f>
        <v>12706.512059369203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045F-BF1D-4FA2-B120-D3240CF5A2B5}">
  <dimension ref="A1:D558"/>
  <sheetViews>
    <sheetView topLeftCell="A3" zoomScale="115" zoomScaleNormal="115" workbookViewId="0">
      <selection activeCell="D8" sqref="D8"/>
    </sheetView>
  </sheetViews>
  <sheetFormatPr defaultRowHeight="15" x14ac:dyDescent="0.25"/>
  <cols>
    <col min="1" max="1" width="18" style="2" bestFit="1" customWidth="1"/>
    <col min="2" max="2" width="16.5703125" bestFit="1" customWidth="1"/>
    <col min="3" max="3" width="20.7109375" style="6" bestFit="1" customWidth="1"/>
    <col min="4" max="4" width="18.5703125" style="6" bestFit="1" customWidth="1"/>
    <col min="5" max="5" width="21.7109375" bestFit="1" customWidth="1"/>
    <col min="6" max="6" width="25.85546875" bestFit="1" customWidth="1"/>
    <col min="7" max="7" width="23.5703125" bestFit="1" customWidth="1"/>
    <col min="8" max="8" width="4.7109375" bestFit="1" customWidth="1"/>
    <col min="9" max="9" width="6.140625" bestFit="1" customWidth="1"/>
    <col min="10" max="11" width="4.7109375" bestFit="1" customWidth="1"/>
    <col min="12" max="12" width="6.140625" bestFit="1" customWidth="1"/>
    <col min="13" max="13" width="4.7109375" bestFit="1" customWidth="1"/>
    <col min="14" max="14" width="6.140625" bestFit="1" customWidth="1"/>
    <col min="15" max="15" width="4.7109375" bestFit="1" customWidth="1"/>
    <col min="16" max="16" width="6.140625" bestFit="1" customWidth="1"/>
    <col min="17" max="17" width="4.7109375" bestFit="1" customWidth="1"/>
    <col min="18" max="18" width="6.140625" bestFit="1" customWidth="1"/>
    <col min="19" max="19" width="4.7109375" bestFit="1" customWidth="1"/>
    <col min="20" max="20" width="6.140625" bestFit="1" customWidth="1"/>
    <col min="21" max="21" width="4.7109375" bestFit="1" customWidth="1"/>
    <col min="22" max="24" width="6.140625" bestFit="1" customWidth="1"/>
    <col min="25" max="26" width="7.140625" bestFit="1" customWidth="1"/>
    <col min="27" max="28" width="5.140625" bestFit="1" customWidth="1"/>
    <col min="29" max="29" width="7.140625" bestFit="1" customWidth="1"/>
    <col min="30" max="30" width="5.140625" bestFit="1" customWidth="1"/>
    <col min="31" max="32" width="7.140625" bestFit="1" customWidth="1"/>
    <col min="33" max="33" width="5.140625" bestFit="1" customWidth="1"/>
    <col min="34" max="34" width="7.140625" bestFit="1" customWidth="1"/>
    <col min="35" max="35" width="5.140625" bestFit="1" customWidth="1"/>
    <col min="36" max="36" width="7.140625" bestFit="1" customWidth="1"/>
    <col min="37" max="37" width="5.140625" bestFit="1" customWidth="1"/>
    <col min="38" max="40" width="7.140625" bestFit="1" customWidth="1"/>
    <col min="41" max="41" width="5.140625" bestFit="1" customWidth="1"/>
    <col min="42" max="44" width="7.140625" bestFit="1" customWidth="1"/>
    <col min="45" max="47" width="5.140625" bestFit="1" customWidth="1"/>
    <col min="48" max="48" width="7.140625" bestFit="1" customWidth="1"/>
    <col min="49" max="49" width="5.140625" bestFit="1" customWidth="1"/>
    <col min="50" max="50" width="7.140625" bestFit="1" customWidth="1"/>
    <col min="51" max="51" width="5.140625" bestFit="1" customWidth="1"/>
    <col min="52" max="52" width="7.140625" bestFit="1" customWidth="1"/>
    <col min="53" max="56" width="5.140625" bestFit="1" customWidth="1"/>
    <col min="57" max="57" width="7.140625" bestFit="1" customWidth="1"/>
    <col min="58" max="58" width="5.140625" bestFit="1" customWidth="1"/>
    <col min="59" max="60" width="7.140625" bestFit="1" customWidth="1"/>
    <col min="61" max="61" width="5.140625" bestFit="1" customWidth="1"/>
    <col min="62" max="62" width="7.140625" bestFit="1" customWidth="1"/>
    <col min="63" max="63" width="5.140625" bestFit="1" customWidth="1"/>
    <col min="64" max="66" width="7.140625" bestFit="1" customWidth="1"/>
    <col min="67" max="67" width="5.140625" bestFit="1" customWidth="1"/>
    <col min="68" max="68" width="7.140625" bestFit="1" customWidth="1"/>
    <col min="69" max="69" width="5.140625" bestFit="1" customWidth="1"/>
    <col min="70" max="70" width="7.140625" bestFit="1" customWidth="1"/>
    <col min="71" max="71" width="5.140625" bestFit="1" customWidth="1"/>
    <col min="72" max="73" width="7.140625" bestFit="1" customWidth="1"/>
    <col min="74" max="74" width="5.140625" bestFit="1" customWidth="1"/>
    <col min="75" max="75" width="7.140625" bestFit="1" customWidth="1"/>
    <col min="76" max="77" width="5.140625" bestFit="1" customWidth="1"/>
    <col min="78" max="78" width="7.140625" bestFit="1" customWidth="1"/>
    <col min="79" max="80" width="5.140625" bestFit="1" customWidth="1"/>
    <col min="81" max="82" width="7.140625" bestFit="1" customWidth="1"/>
    <col min="83" max="86" width="5.140625" bestFit="1" customWidth="1"/>
    <col min="87" max="87" width="7.140625" bestFit="1" customWidth="1"/>
    <col min="88" max="89" width="5.140625" bestFit="1" customWidth="1"/>
    <col min="90" max="91" width="7.140625" bestFit="1" customWidth="1"/>
    <col min="92" max="96" width="5.140625" bestFit="1" customWidth="1"/>
    <col min="97" max="98" width="7.140625" bestFit="1" customWidth="1"/>
    <col min="99" max="100" width="5.140625" bestFit="1" customWidth="1"/>
    <col min="101" max="101" width="7.140625" bestFit="1" customWidth="1"/>
    <col min="102" max="106" width="5.140625" bestFit="1" customWidth="1"/>
    <col min="107" max="111" width="7.140625" bestFit="1" customWidth="1"/>
    <col min="112" max="112" width="5.140625" bestFit="1" customWidth="1"/>
    <col min="113" max="117" width="7.140625" bestFit="1" customWidth="1"/>
    <col min="118" max="118" width="5.140625" bestFit="1" customWidth="1"/>
    <col min="119" max="119" width="7.140625" bestFit="1" customWidth="1"/>
    <col min="120" max="122" width="5.140625" bestFit="1" customWidth="1"/>
    <col min="123" max="123" width="7.140625" bestFit="1" customWidth="1"/>
    <col min="124" max="124" width="5.140625" bestFit="1" customWidth="1"/>
    <col min="125" max="128" width="7.140625" bestFit="1" customWidth="1"/>
    <col min="129" max="129" width="5.140625" bestFit="1" customWidth="1"/>
    <col min="130" max="130" width="7.140625" bestFit="1" customWidth="1"/>
    <col min="131" max="132" width="5.140625" bestFit="1" customWidth="1"/>
    <col min="133" max="133" width="7.140625" bestFit="1" customWidth="1"/>
    <col min="134" max="134" width="5.140625" bestFit="1" customWidth="1"/>
    <col min="135" max="136" width="7.140625" bestFit="1" customWidth="1"/>
    <col min="137" max="138" width="5.140625" bestFit="1" customWidth="1"/>
    <col min="139" max="140" width="7.140625" bestFit="1" customWidth="1"/>
    <col min="141" max="142" width="5.140625" bestFit="1" customWidth="1"/>
    <col min="143" max="145" width="7.140625" bestFit="1" customWidth="1"/>
    <col min="146" max="146" width="5.140625" bestFit="1" customWidth="1"/>
    <col min="147" max="147" width="7.140625" bestFit="1" customWidth="1"/>
    <col min="148" max="148" width="5.140625" bestFit="1" customWidth="1"/>
    <col min="149" max="150" width="7.140625" bestFit="1" customWidth="1"/>
    <col min="151" max="151" width="5.140625" bestFit="1" customWidth="1"/>
    <col min="152" max="153" width="7.140625" bestFit="1" customWidth="1"/>
    <col min="154" max="156" width="5.140625" bestFit="1" customWidth="1"/>
    <col min="157" max="157" width="7.140625" bestFit="1" customWidth="1"/>
    <col min="158" max="158" width="5.140625" bestFit="1" customWidth="1"/>
    <col min="159" max="159" width="7.140625" bestFit="1" customWidth="1"/>
    <col min="160" max="163" width="5.140625" bestFit="1" customWidth="1"/>
    <col min="164" max="166" width="7.140625" bestFit="1" customWidth="1"/>
    <col min="167" max="167" width="5.140625" bestFit="1" customWidth="1"/>
    <col min="168" max="168" width="7.140625" bestFit="1" customWidth="1"/>
    <col min="169" max="169" width="5.140625" bestFit="1" customWidth="1"/>
    <col min="170" max="175" width="7.140625" bestFit="1" customWidth="1"/>
    <col min="176" max="176" width="5.140625" bestFit="1" customWidth="1"/>
    <col min="177" max="177" width="7.140625" bestFit="1" customWidth="1"/>
    <col min="178" max="178" width="5.140625" bestFit="1" customWidth="1"/>
    <col min="179" max="179" width="7.140625" bestFit="1" customWidth="1"/>
    <col min="180" max="180" width="5.140625" bestFit="1" customWidth="1"/>
    <col min="181" max="182" width="7.140625" bestFit="1" customWidth="1"/>
    <col min="183" max="183" width="5.140625" bestFit="1" customWidth="1"/>
    <col min="184" max="185" width="7.140625" bestFit="1" customWidth="1"/>
    <col min="186" max="186" width="5.140625" bestFit="1" customWidth="1"/>
    <col min="187" max="187" width="7.140625" bestFit="1" customWidth="1"/>
    <col min="188" max="192" width="5.140625" bestFit="1" customWidth="1"/>
    <col min="193" max="193" width="7.140625" bestFit="1" customWidth="1"/>
    <col min="194" max="194" width="5.140625" bestFit="1" customWidth="1"/>
    <col min="195" max="195" width="7.140625" bestFit="1" customWidth="1"/>
    <col min="196" max="196" width="5.140625" bestFit="1" customWidth="1"/>
    <col min="197" max="197" width="7.140625" bestFit="1" customWidth="1"/>
    <col min="198" max="198" width="5.140625" bestFit="1" customWidth="1"/>
    <col min="199" max="200" width="7.140625" bestFit="1" customWidth="1"/>
    <col min="201" max="202" width="5.140625" bestFit="1" customWidth="1"/>
    <col min="203" max="206" width="7.140625" bestFit="1" customWidth="1"/>
    <col min="207" max="207" width="5.140625" bestFit="1" customWidth="1"/>
    <col min="208" max="208" width="7.140625" bestFit="1" customWidth="1"/>
    <col min="209" max="209" width="5.140625" bestFit="1" customWidth="1"/>
    <col min="210" max="210" width="7.140625" bestFit="1" customWidth="1"/>
    <col min="211" max="211" width="5.140625" bestFit="1" customWidth="1"/>
    <col min="212" max="212" width="7.140625" bestFit="1" customWidth="1"/>
    <col min="213" max="215" width="5.140625" bestFit="1" customWidth="1"/>
    <col min="216" max="216" width="7.140625" bestFit="1" customWidth="1"/>
    <col min="217" max="217" width="5.140625" bestFit="1" customWidth="1"/>
    <col min="218" max="220" width="7.140625" bestFit="1" customWidth="1"/>
    <col min="221" max="221" width="5.140625" bestFit="1" customWidth="1"/>
    <col min="222" max="222" width="7.140625" bestFit="1" customWidth="1"/>
    <col min="223" max="225" width="5.140625" bestFit="1" customWidth="1"/>
    <col min="226" max="226" width="7.140625" bestFit="1" customWidth="1"/>
    <col min="227" max="228" width="5.140625" bestFit="1" customWidth="1"/>
    <col min="229" max="229" width="7.140625" bestFit="1" customWidth="1"/>
    <col min="230" max="230" width="5.140625" bestFit="1" customWidth="1"/>
    <col min="231" max="235" width="7.140625" bestFit="1" customWidth="1"/>
    <col min="236" max="236" width="5.140625" bestFit="1" customWidth="1"/>
    <col min="237" max="237" width="7.140625" bestFit="1" customWidth="1"/>
    <col min="238" max="238" width="5.140625" bestFit="1" customWidth="1"/>
    <col min="239" max="239" width="7.140625" bestFit="1" customWidth="1"/>
    <col min="240" max="240" width="5.140625" bestFit="1" customWidth="1"/>
    <col min="241" max="241" width="7.140625" bestFit="1" customWidth="1"/>
    <col min="242" max="244" width="5.140625" bestFit="1" customWidth="1"/>
    <col min="245" max="245" width="7.140625" bestFit="1" customWidth="1"/>
    <col min="246" max="246" width="5.140625" bestFit="1" customWidth="1"/>
    <col min="247" max="247" width="7.140625" bestFit="1" customWidth="1"/>
    <col min="248" max="249" width="5.140625" bestFit="1" customWidth="1"/>
    <col min="250" max="257" width="7.140625" bestFit="1" customWidth="1"/>
    <col min="258" max="258" width="5.140625" bestFit="1" customWidth="1"/>
    <col min="259" max="260" width="7.140625" bestFit="1" customWidth="1"/>
    <col min="261" max="261" width="5.140625" bestFit="1" customWidth="1"/>
    <col min="262" max="262" width="7.140625" bestFit="1" customWidth="1"/>
    <col min="263" max="263" width="5.140625" bestFit="1" customWidth="1"/>
    <col min="264" max="264" width="7.140625" bestFit="1" customWidth="1"/>
    <col min="265" max="265" width="5.140625" bestFit="1" customWidth="1"/>
    <col min="266" max="266" width="7.140625" bestFit="1" customWidth="1"/>
    <col min="267" max="267" width="5.140625" bestFit="1" customWidth="1"/>
    <col min="268" max="269" width="7.140625" bestFit="1" customWidth="1"/>
    <col min="270" max="270" width="5.140625" bestFit="1" customWidth="1"/>
    <col min="271" max="271" width="7.140625" bestFit="1" customWidth="1"/>
    <col min="272" max="276" width="5.140625" bestFit="1" customWidth="1"/>
    <col min="277" max="278" width="7.140625" bestFit="1" customWidth="1"/>
    <col min="279" max="281" width="5.140625" bestFit="1" customWidth="1"/>
    <col min="282" max="282" width="7.140625" bestFit="1" customWidth="1"/>
    <col min="283" max="286" width="5.140625" bestFit="1" customWidth="1"/>
    <col min="287" max="287" width="7.140625" bestFit="1" customWidth="1"/>
    <col min="288" max="288" width="5.140625" bestFit="1" customWidth="1"/>
    <col min="289" max="289" width="7.140625" bestFit="1" customWidth="1"/>
    <col min="290" max="290" width="5.140625" bestFit="1" customWidth="1"/>
    <col min="291" max="291" width="7.140625" bestFit="1" customWidth="1"/>
    <col min="292" max="295" width="5.140625" bestFit="1" customWidth="1"/>
    <col min="296" max="296" width="7.140625" bestFit="1" customWidth="1"/>
    <col min="297" max="300" width="5.140625" bestFit="1" customWidth="1"/>
    <col min="301" max="302" width="7.140625" bestFit="1" customWidth="1"/>
    <col min="303" max="303" width="5.140625" bestFit="1" customWidth="1"/>
    <col min="304" max="305" width="7.140625" bestFit="1" customWidth="1"/>
    <col min="306" max="306" width="5.140625" bestFit="1" customWidth="1"/>
    <col min="307" max="307" width="7.140625" bestFit="1" customWidth="1"/>
    <col min="308" max="308" width="5.140625" bestFit="1" customWidth="1"/>
    <col min="309" max="309" width="7.140625" bestFit="1" customWidth="1"/>
    <col min="310" max="311" width="5.140625" bestFit="1" customWidth="1"/>
    <col min="312" max="312" width="7.140625" bestFit="1" customWidth="1"/>
    <col min="313" max="315" width="5.140625" bestFit="1" customWidth="1"/>
    <col min="316" max="316" width="7.140625" bestFit="1" customWidth="1"/>
    <col min="317" max="318" width="5.140625" bestFit="1" customWidth="1"/>
    <col min="319" max="319" width="7.140625" bestFit="1" customWidth="1"/>
    <col min="320" max="323" width="5.140625" bestFit="1" customWidth="1"/>
    <col min="324" max="324" width="7.140625" bestFit="1" customWidth="1"/>
    <col min="325" max="325" width="5.140625" bestFit="1" customWidth="1"/>
    <col min="326" max="326" width="7.140625" bestFit="1" customWidth="1"/>
    <col min="327" max="327" width="5.140625" bestFit="1" customWidth="1"/>
    <col min="328" max="329" width="7.140625" bestFit="1" customWidth="1"/>
    <col min="330" max="330" width="5.140625" bestFit="1" customWidth="1"/>
    <col min="331" max="331" width="7.140625" bestFit="1" customWidth="1"/>
    <col min="332" max="332" width="5.140625" bestFit="1" customWidth="1"/>
    <col min="333" max="335" width="7.140625" bestFit="1" customWidth="1"/>
    <col min="336" max="336" width="5.140625" bestFit="1" customWidth="1"/>
    <col min="337" max="337" width="7.140625" bestFit="1" customWidth="1"/>
    <col min="338" max="338" width="5.140625" bestFit="1" customWidth="1"/>
    <col min="339" max="339" width="7.140625" bestFit="1" customWidth="1"/>
    <col min="340" max="340" width="5.140625" bestFit="1" customWidth="1"/>
    <col min="341" max="341" width="7.140625" bestFit="1" customWidth="1"/>
    <col min="342" max="343" width="5.140625" bestFit="1" customWidth="1"/>
    <col min="344" max="344" width="7.140625" bestFit="1" customWidth="1"/>
    <col min="345" max="351" width="5.140625" bestFit="1" customWidth="1"/>
    <col min="352" max="354" width="7.140625" bestFit="1" customWidth="1"/>
    <col min="355" max="360" width="5.140625" bestFit="1" customWidth="1"/>
    <col min="361" max="367" width="7.140625" bestFit="1" customWidth="1"/>
    <col min="368" max="368" width="5.140625" bestFit="1" customWidth="1"/>
    <col min="369" max="369" width="7.140625" bestFit="1" customWidth="1"/>
    <col min="370" max="371" width="5.140625" bestFit="1" customWidth="1"/>
    <col min="372" max="372" width="7.140625" bestFit="1" customWidth="1"/>
    <col min="373" max="373" width="5.140625" bestFit="1" customWidth="1"/>
    <col min="374" max="380" width="7.140625" bestFit="1" customWidth="1"/>
    <col min="381" max="383" width="5.140625" bestFit="1" customWidth="1"/>
    <col min="384" max="386" width="7.140625" bestFit="1" customWidth="1"/>
    <col min="387" max="387" width="5.140625" bestFit="1" customWidth="1"/>
    <col min="388" max="389" width="7.140625" bestFit="1" customWidth="1"/>
    <col min="390" max="390" width="5.140625" bestFit="1" customWidth="1"/>
    <col min="391" max="392" width="7.140625" bestFit="1" customWidth="1"/>
    <col min="393" max="396" width="5.140625" bestFit="1" customWidth="1"/>
    <col min="397" max="398" width="7.140625" bestFit="1" customWidth="1"/>
    <col min="399" max="399" width="5.140625" bestFit="1" customWidth="1"/>
    <col min="400" max="400" width="7.140625" bestFit="1" customWidth="1"/>
    <col min="401" max="401" width="5.140625" bestFit="1" customWidth="1"/>
    <col min="402" max="403" width="7.140625" bestFit="1" customWidth="1"/>
    <col min="404" max="405" width="5.140625" bestFit="1" customWidth="1"/>
    <col min="406" max="407" width="7.140625" bestFit="1" customWidth="1"/>
    <col min="408" max="408" width="5.140625" bestFit="1" customWidth="1"/>
    <col min="409" max="409" width="7.140625" bestFit="1" customWidth="1"/>
    <col min="410" max="411" width="5.140625" bestFit="1" customWidth="1"/>
    <col min="412" max="413" width="7.140625" bestFit="1" customWidth="1"/>
    <col min="414" max="414" width="5.140625" bestFit="1" customWidth="1"/>
    <col min="415" max="415" width="7.140625" bestFit="1" customWidth="1"/>
    <col min="416" max="416" width="5.140625" bestFit="1" customWidth="1"/>
    <col min="417" max="422" width="7.140625" bestFit="1" customWidth="1"/>
    <col min="423" max="423" width="5.140625" bestFit="1" customWidth="1"/>
    <col min="424" max="425" width="7.140625" bestFit="1" customWidth="1"/>
    <col min="426" max="427" width="6.140625" bestFit="1" customWidth="1"/>
    <col min="428" max="431" width="8.140625" bestFit="1" customWidth="1"/>
    <col min="432" max="434" width="6.140625" bestFit="1" customWidth="1"/>
    <col min="435" max="437" width="8.140625" bestFit="1" customWidth="1"/>
    <col min="438" max="442" width="6.140625" bestFit="1" customWidth="1"/>
    <col min="443" max="446" width="8.140625" bestFit="1" customWidth="1"/>
    <col min="447" max="448" width="6.140625" bestFit="1" customWidth="1"/>
    <col min="449" max="449" width="8.140625" bestFit="1" customWidth="1"/>
    <col min="450" max="451" width="6.140625" bestFit="1" customWidth="1"/>
    <col min="452" max="453" width="8.140625" bestFit="1" customWidth="1"/>
    <col min="454" max="455" width="6.140625" bestFit="1" customWidth="1"/>
    <col min="456" max="456" width="8.140625" bestFit="1" customWidth="1"/>
    <col min="457" max="457" width="6.140625" bestFit="1" customWidth="1"/>
    <col min="458" max="460" width="8.140625" bestFit="1" customWidth="1"/>
    <col min="461" max="465" width="6.140625" bestFit="1" customWidth="1"/>
    <col min="466" max="467" width="8.140625" bestFit="1" customWidth="1"/>
    <col min="468" max="468" width="6.140625" bestFit="1" customWidth="1"/>
    <col min="469" max="469" width="8.140625" bestFit="1" customWidth="1"/>
    <col min="470" max="472" width="6.140625" bestFit="1" customWidth="1"/>
    <col min="473" max="473" width="8.140625" bestFit="1" customWidth="1"/>
    <col min="474" max="474" width="6.140625" bestFit="1" customWidth="1"/>
    <col min="475" max="475" width="8.140625" bestFit="1" customWidth="1"/>
    <col min="476" max="476" width="6.140625" bestFit="1" customWidth="1"/>
    <col min="477" max="477" width="8.140625" bestFit="1" customWidth="1"/>
    <col min="478" max="478" width="6.140625" bestFit="1" customWidth="1"/>
    <col min="479" max="479" width="8.140625" bestFit="1" customWidth="1"/>
    <col min="480" max="489" width="6.140625" bestFit="1" customWidth="1"/>
    <col min="490" max="490" width="8.140625" bestFit="1" customWidth="1"/>
    <col min="491" max="493" width="6.140625" bestFit="1" customWidth="1"/>
    <col min="494" max="494" width="8.140625" bestFit="1" customWidth="1"/>
    <col min="495" max="498" width="6.140625" bestFit="1" customWidth="1"/>
    <col min="499" max="501" width="8.140625" bestFit="1" customWidth="1"/>
    <col min="502" max="502" width="6.140625" bestFit="1" customWidth="1"/>
    <col min="503" max="503" width="8.140625" bestFit="1" customWidth="1"/>
    <col min="504" max="504" width="6.140625" bestFit="1" customWidth="1"/>
    <col min="505" max="505" width="8.140625" bestFit="1" customWidth="1"/>
    <col min="506" max="508" width="6.140625" bestFit="1" customWidth="1"/>
    <col min="509" max="509" width="8.140625" bestFit="1" customWidth="1"/>
    <col min="510" max="510" width="6.140625" bestFit="1" customWidth="1"/>
    <col min="511" max="511" width="8.140625" bestFit="1" customWidth="1"/>
    <col min="512" max="512" width="6.140625" bestFit="1" customWidth="1"/>
    <col min="513" max="514" width="8.140625" bestFit="1" customWidth="1"/>
    <col min="515" max="515" width="6.140625" bestFit="1" customWidth="1"/>
    <col min="516" max="520" width="8.140625" bestFit="1" customWidth="1"/>
    <col min="521" max="523" width="6.140625" bestFit="1" customWidth="1"/>
    <col min="524" max="525" width="8.140625" bestFit="1" customWidth="1"/>
    <col min="526" max="527" width="6.140625" bestFit="1" customWidth="1"/>
    <col min="528" max="528" width="8.140625" bestFit="1" customWidth="1"/>
    <col min="529" max="529" width="6.140625" bestFit="1" customWidth="1"/>
    <col min="530" max="530" width="8.140625" bestFit="1" customWidth="1"/>
    <col min="531" max="531" width="6.140625" bestFit="1" customWidth="1"/>
    <col min="532" max="532" width="8.140625" bestFit="1" customWidth="1"/>
    <col min="533" max="534" width="6.140625" bestFit="1" customWidth="1"/>
    <col min="535" max="536" width="8.140625" bestFit="1" customWidth="1"/>
    <col min="537" max="537" width="7" bestFit="1" customWidth="1"/>
    <col min="538" max="538" width="20.7109375" bestFit="1" customWidth="1"/>
    <col min="539" max="747" width="7.7109375" bestFit="1" customWidth="1"/>
    <col min="748" max="1073" width="8.7109375" bestFit="1" customWidth="1"/>
    <col min="1074" max="1074" width="21.7109375" bestFit="1" customWidth="1"/>
    <col min="1075" max="1075" width="25.85546875" bestFit="1" customWidth="1"/>
  </cols>
  <sheetData>
    <row r="1" spans="1:4" x14ac:dyDescent="0.25">
      <c r="A1"/>
    </row>
    <row r="2" spans="1:4" x14ac:dyDescent="0.25">
      <c r="A2" s="7" t="s">
        <v>17</v>
      </c>
      <c r="B2" s="1" t="s">
        <v>1696</v>
      </c>
    </row>
    <row r="3" spans="1:4" x14ac:dyDescent="0.25">
      <c r="A3"/>
      <c r="C3"/>
      <c r="D3"/>
    </row>
    <row r="4" spans="1:4" x14ac:dyDescent="0.25">
      <c r="A4" s="7" t="s">
        <v>1693</v>
      </c>
      <c r="B4" s="1" t="s">
        <v>1697</v>
      </c>
      <c r="C4" s="1" t="s">
        <v>1698</v>
      </c>
      <c r="D4"/>
    </row>
    <row r="5" spans="1:4" x14ac:dyDescent="0.25">
      <c r="A5" s="8" t="s">
        <v>1688</v>
      </c>
      <c r="B5" s="4">
        <v>255</v>
      </c>
      <c r="C5" s="4">
        <v>12870.533333333333</v>
      </c>
      <c r="D5"/>
    </row>
    <row r="6" spans="1:4" x14ac:dyDescent="0.25">
      <c r="A6" s="9" t="s">
        <v>1682</v>
      </c>
      <c r="B6" s="4">
        <v>73</v>
      </c>
      <c r="C6" s="4">
        <v>12043.945205479453</v>
      </c>
      <c r="D6"/>
    </row>
    <row r="7" spans="1:4" x14ac:dyDescent="0.25">
      <c r="A7" s="9" t="s">
        <v>1686</v>
      </c>
      <c r="B7" s="4">
        <v>65</v>
      </c>
      <c r="C7" s="4">
        <v>13505.953846153847</v>
      </c>
      <c r="D7"/>
    </row>
    <row r="8" spans="1:4" x14ac:dyDescent="0.25">
      <c r="A8" s="9" t="s">
        <v>1673</v>
      </c>
      <c r="B8" s="4">
        <v>21</v>
      </c>
      <c r="C8" s="4">
        <v>16596.761904761905</v>
      </c>
      <c r="D8"/>
    </row>
    <row r="9" spans="1:4" x14ac:dyDescent="0.25">
      <c r="A9" s="9" t="s">
        <v>1677</v>
      </c>
      <c r="B9" s="4">
        <v>75</v>
      </c>
      <c r="C9" s="4">
        <v>12278.813333333334</v>
      </c>
      <c r="D9"/>
    </row>
    <row r="10" spans="1:4" x14ac:dyDescent="0.25">
      <c r="A10" s="9" t="s">
        <v>1680</v>
      </c>
      <c r="B10" s="4">
        <v>21</v>
      </c>
      <c r="C10" s="4">
        <v>12164.190476190477</v>
      </c>
      <c r="D10"/>
    </row>
    <row r="11" spans="1:4" x14ac:dyDescent="0.25">
      <c r="A11" s="8" t="s">
        <v>1689</v>
      </c>
      <c r="B11" s="4">
        <v>284</v>
      </c>
      <c r="C11" s="4">
        <v>12559.239436619719</v>
      </c>
      <c r="D11"/>
    </row>
    <row r="12" spans="1:4" x14ac:dyDescent="0.25">
      <c r="A12" s="9" t="s">
        <v>1682</v>
      </c>
      <c r="B12" s="4">
        <v>91</v>
      </c>
      <c r="C12" s="4">
        <v>12653.505494505494</v>
      </c>
      <c r="D12"/>
    </row>
    <row r="13" spans="1:4" x14ac:dyDescent="0.25">
      <c r="A13" s="9" t="s">
        <v>1686</v>
      </c>
      <c r="B13" s="4">
        <v>58</v>
      </c>
      <c r="C13" s="4">
        <v>12865.448275862069</v>
      </c>
      <c r="D13"/>
    </row>
    <row r="14" spans="1:4" x14ac:dyDescent="0.25">
      <c r="A14" s="9" t="s">
        <v>1673</v>
      </c>
      <c r="B14" s="4">
        <v>29</v>
      </c>
      <c r="C14" s="4">
        <v>14050.793103448275</v>
      </c>
      <c r="D14"/>
    </row>
    <row r="15" spans="1:4" x14ac:dyDescent="0.25">
      <c r="A15" s="9" t="s">
        <v>1677</v>
      </c>
      <c r="B15" s="4">
        <v>81</v>
      </c>
      <c r="C15" s="4">
        <v>12247.728395061727</v>
      </c>
      <c r="D15"/>
    </row>
    <row r="16" spans="1:4" x14ac:dyDescent="0.25">
      <c r="A16" s="9" t="s">
        <v>1680</v>
      </c>
      <c r="B16" s="4">
        <v>25</v>
      </c>
      <c r="C16" s="4">
        <v>10784.8</v>
      </c>
      <c r="D16"/>
    </row>
    <row r="17" spans="1:4" x14ac:dyDescent="0.25">
      <c r="A17" s="8" t="s">
        <v>1694</v>
      </c>
      <c r="B17" s="4"/>
      <c r="C17" s="4">
        <v>12706.512059369203</v>
      </c>
      <c r="D17"/>
    </row>
    <row r="18" spans="1:4" x14ac:dyDescent="0.25">
      <c r="A18" s="9" t="s">
        <v>1694</v>
      </c>
      <c r="B18" s="4"/>
      <c r="C18" s="4">
        <v>12706.512059369203</v>
      </c>
      <c r="D18"/>
    </row>
    <row r="19" spans="1:4" x14ac:dyDescent="0.25">
      <c r="A19" s="10" t="s">
        <v>1695</v>
      </c>
      <c r="B19" s="4">
        <v>539</v>
      </c>
      <c r="C19" s="4">
        <v>12706.512059369203</v>
      </c>
      <c r="D19"/>
    </row>
    <row r="20" spans="1:4" x14ac:dyDescent="0.25">
      <c r="A20"/>
      <c r="C20"/>
      <c r="D20"/>
    </row>
    <row r="21" spans="1:4" x14ac:dyDescent="0.25">
      <c r="A21"/>
      <c r="C21"/>
      <c r="D21"/>
    </row>
    <row r="22" spans="1:4" x14ac:dyDescent="0.25">
      <c r="A22"/>
      <c r="C22"/>
      <c r="D22"/>
    </row>
    <row r="23" spans="1:4" x14ac:dyDescent="0.25">
      <c r="A23"/>
      <c r="C23"/>
      <c r="D23"/>
    </row>
    <row r="24" spans="1:4" x14ac:dyDescent="0.25">
      <c r="A24"/>
      <c r="C24"/>
      <c r="D24"/>
    </row>
    <row r="25" spans="1:4" x14ac:dyDescent="0.25">
      <c r="A25"/>
      <c r="C25"/>
      <c r="D25"/>
    </row>
    <row r="26" spans="1:4" x14ac:dyDescent="0.25">
      <c r="A26"/>
      <c r="C26"/>
      <c r="D26"/>
    </row>
    <row r="27" spans="1:4" x14ac:dyDescent="0.25">
      <c r="A27"/>
      <c r="C27"/>
      <c r="D27"/>
    </row>
    <row r="28" spans="1:4" x14ac:dyDescent="0.25">
      <c r="A28"/>
      <c r="C28"/>
      <c r="D28"/>
    </row>
    <row r="29" spans="1:4" x14ac:dyDescent="0.25">
      <c r="A29"/>
      <c r="C29"/>
      <c r="D29"/>
    </row>
    <row r="30" spans="1:4" x14ac:dyDescent="0.25">
      <c r="A30"/>
      <c r="C30"/>
      <c r="D30"/>
    </row>
    <row r="31" spans="1:4" x14ac:dyDescent="0.25">
      <c r="A31"/>
      <c r="C31"/>
      <c r="D31"/>
    </row>
    <row r="32" spans="1:4" x14ac:dyDescent="0.25">
      <c r="A32"/>
      <c r="C32"/>
      <c r="D32"/>
    </row>
    <row r="33" spans="1:4" x14ac:dyDescent="0.25">
      <c r="A33"/>
      <c r="C33"/>
      <c r="D33"/>
    </row>
    <row r="34" spans="1:4" x14ac:dyDescent="0.25">
      <c r="A34"/>
      <c r="C34"/>
      <c r="D34"/>
    </row>
    <row r="35" spans="1:4" x14ac:dyDescent="0.25">
      <c r="A35"/>
      <c r="C35"/>
      <c r="D35"/>
    </row>
    <row r="36" spans="1:4" x14ac:dyDescent="0.25">
      <c r="A36"/>
      <c r="C36"/>
      <c r="D36"/>
    </row>
    <row r="37" spans="1:4" x14ac:dyDescent="0.25">
      <c r="A37"/>
      <c r="C37"/>
      <c r="D37"/>
    </row>
    <row r="38" spans="1:4" x14ac:dyDescent="0.25">
      <c r="A38"/>
      <c r="C38"/>
      <c r="D38"/>
    </row>
    <row r="39" spans="1:4" x14ac:dyDescent="0.25">
      <c r="A39"/>
      <c r="C39"/>
      <c r="D39"/>
    </row>
    <row r="40" spans="1:4" x14ac:dyDescent="0.25">
      <c r="A40"/>
      <c r="C40"/>
      <c r="D40"/>
    </row>
    <row r="41" spans="1:4" x14ac:dyDescent="0.25">
      <c r="A41"/>
      <c r="C41"/>
      <c r="D41"/>
    </row>
    <row r="42" spans="1:4" x14ac:dyDescent="0.25">
      <c r="A42"/>
      <c r="C42"/>
      <c r="D42"/>
    </row>
    <row r="43" spans="1:4" x14ac:dyDescent="0.25">
      <c r="A43"/>
      <c r="C43"/>
      <c r="D43"/>
    </row>
    <row r="44" spans="1:4" x14ac:dyDescent="0.25">
      <c r="A44"/>
      <c r="C44"/>
      <c r="D44"/>
    </row>
    <row r="45" spans="1:4" x14ac:dyDescent="0.25">
      <c r="A45"/>
      <c r="C45"/>
      <c r="D45"/>
    </row>
    <row r="46" spans="1:4" x14ac:dyDescent="0.25">
      <c r="A46"/>
      <c r="C46"/>
      <c r="D46"/>
    </row>
    <row r="47" spans="1:4" x14ac:dyDescent="0.25">
      <c r="A47"/>
      <c r="C47"/>
      <c r="D47"/>
    </row>
    <row r="48" spans="1:4" x14ac:dyDescent="0.25">
      <c r="A48"/>
      <c r="C48"/>
      <c r="D48"/>
    </row>
    <row r="49" spans="1:4" x14ac:dyDescent="0.25">
      <c r="A49"/>
      <c r="C49"/>
      <c r="D49"/>
    </row>
    <row r="50" spans="1:4" x14ac:dyDescent="0.25">
      <c r="A50"/>
      <c r="C50"/>
      <c r="D50"/>
    </row>
    <row r="51" spans="1:4" x14ac:dyDescent="0.25">
      <c r="A51"/>
      <c r="C51"/>
      <c r="D51"/>
    </row>
    <row r="52" spans="1:4" x14ac:dyDescent="0.25">
      <c r="A52"/>
      <c r="C52"/>
      <c r="D52"/>
    </row>
    <row r="53" spans="1:4" x14ac:dyDescent="0.25">
      <c r="A53"/>
      <c r="C53"/>
      <c r="D53"/>
    </row>
    <row r="54" spans="1:4" x14ac:dyDescent="0.25">
      <c r="A54"/>
      <c r="C54"/>
      <c r="D54"/>
    </row>
    <row r="55" spans="1:4" x14ac:dyDescent="0.25">
      <c r="A55"/>
      <c r="C55"/>
      <c r="D55"/>
    </row>
    <row r="56" spans="1:4" x14ac:dyDescent="0.25">
      <c r="A56"/>
      <c r="C56"/>
      <c r="D56"/>
    </row>
    <row r="57" spans="1:4" x14ac:dyDescent="0.25">
      <c r="A57"/>
      <c r="C57"/>
      <c r="D57"/>
    </row>
    <row r="58" spans="1:4" x14ac:dyDescent="0.25">
      <c r="A58"/>
      <c r="C58"/>
      <c r="D58"/>
    </row>
    <row r="59" spans="1:4" x14ac:dyDescent="0.25">
      <c r="A59"/>
      <c r="C59"/>
      <c r="D59"/>
    </row>
    <row r="60" spans="1:4" x14ac:dyDescent="0.25">
      <c r="A60"/>
      <c r="C60"/>
      <c r="D60"/>
    </row>
    <row r="61" spans="1:4" x14ac:dyDescent="0.25">
      <c r="A61"/>
      <c r="C61"/>
      <c r="D61"/>
    </row>
    <row r="62" spans="1:4" x14ac:dyDescent="0.25">
      <c r="A62"/>
      <c r="C62"/>
      <c r="D62"/>
    </row>
    <row r="63" spans="1:4" x14ac:dyDescent="0.25">
      <c r="A63"/>
      <c r="C63"/>
      <c r="D63"/>
    </row>
    <row r="64" spans="1:4" x14ac:dyDescent="0.25">
      <c r="A64"/>
      <c r="C64"/>
      <c r="D64"/>
    </row>
    <row r="65" spans="1:4" x14ac:dyDescent="0.25">
      <c r="A65"/>
      <c r="C65"/>
      <c r="D65"/>
    </row>
    <row r="66" spans="1:4" x14ac:dyDescent="0.25">
      <c r="A66"/>
      <c r="C66"/>
      <c r="D66"/>
    </row>
    <row r="67" spans="1:4" x14ac:dyDescent="0.25">
      <c r="A67"/>
      <c r="C67"/>
      <c r="D67"/>
    </row>
    <row r="68" spans="1:4" x14ac:dyDescent="0.25">
      <c r="A68"/>
      <c r="C68"/>
      <c r="D68"/>
    </row>
    <row r="69" spans="1:4" x14ac:dyDescent="0.25">
      <c r="A69"/>
      <c r="C69"/>
      <c r="D69"/>
    </row>
    <row r="70" spans="1:4" x14ac:dyDescent="0.25">
      <c r="A70"/>
      <c r="C70"/>
      <c r="D70"/>
    </row>
    <row r="71" spans="1:4" x14ac:dyDescent="0.25">
      <c r="A71"/>
      <c r="C71"/>
      <c r="D71"/>
    </row>
    <row r="72" spans="1:4" x14ac:dyDescent="0.25">
      <c r="A72"/>
      <c r="C72"/>
      <c r="D72"/>
    </row>
    <row r="73" spans="1:4" x14ac:dyDescent="0.25">
      <c r="A73"/>
      <c r="C73"/>
      <c r="D73"/>
    </row>
    <row r="74" spans="1:4" x14ac:dyDescent="0.25">
      <c r="A74"/>
      <c r="C74"/>
      <c r="D74"/>
    </row>
    <row r="75" spans="1:4" x14ac:dyDescent="0.25">
      <c r="A75"/>
      <c r="C75"/>
      <c r="D75"/>
    </row>
    <row r="76" spans="1:4" x14ac:dyDescent="0.25">
      <c r="A76"/>
      <c r="C76"/>
      <c r="D76"/>
    </row>
    <row r="77" spans="1:4" x14ac:dyDescent="0.25">
      <c r="A77"/>
      <c r="C77"/>
      <c r="D77"/>
    </row>
    <row r="78" spans="1:4" x14ac:dyDescent="0.25">
      <c r="A78"/>
      <c r="C78"/>
      <c r="D78"/>
    </row>
    <row r="79" spans="1:4" x14ac:dyDescent="0.25">
      <c r="A79"/>
      <c r="C79"/>
      <c r="D79"/>
    </row>
    <row r="80" spans="1:4" x14ac:dyDescent="0.25">
      <c r="A80"/>
      <c r="C80"/>
      <c r="D80"/>
    </row>
    <row r="81" spans="1:4" x14ac:dyDescent="0.25">
      <c r="A81"/>
      <c r="C81"/>
      <c r="D81"/>
    </row>
    <row r="82" spans="1:4" x14ac:dyDescent="0.25">
      <c r="A82"/>
      <c r="C82"/>
      <c r="D82"/>
    </row>
    <row r="83" spans="1:4" x14ac:dyDescent="0.25">
      <c r="A83"/>
      <c r="C83"/>
      <c r="D83"/>
    </row>
    <row r="84" spans="1:4" x14ac:dyDescent="0.25">
      <c r="A84"/>
      <c r="C84"/>
      <c r="D84"/>
    </row>
    <row r="85" spans="1:4" x14ac:dyDescent="0.25">
      <c r="A85"/>
      <c r="C85"/>
      <c r="D85"/>
    </row>
    <row r="86" spans="1:4" x14ac:dyDescent="0.25">
      <c r="A86"/>
      <c r="C86"/>
      <c r="D86"/>
    </row>
    <row r="87" spans="1:4" x14ac:dyDescent="0.25">
      <c r="A87"/>
      <c r="C87"/>
      <c r="D87"/>
    </row>
    <row r="88" spans="1:4" x14ac:dyDescent="0.25">
      <c r="A88"/>
      <c r="C88"/>
      <c r="D88"/>
    </row>
    <row r="89" spans="1:4" x14ac:dyDescent="0.25">
      <c r="A89"/>
      <c r="C89"/>
      <c r="D89"/>
    </row>
    <row r="90" spans="1:4" x14ac:dyDescent="0.25">
      <c r="A90"/>
      <c r="C90"/>
      <c r="D90"/>
    </row>
    <row r="91" spans="1:4" x14ac:dyDescent="0.25">
      <c r="A91"/>
      <c r="C91"/>
      <c r="D91"/>
    </row>
    <row r="92" spans="1:4" x14ac:dyDescent="0.25">
      <c r="A92"/>
      <c r="C92"/>
      <c r="D92"/>
    </row>
    <row r="93" spans="1:4" x14ac:dyDescent="0.25">
      <c r="A93"/>
      <c r="C93"/>
      <c r="D93"/>
    </row>
    <row r="94" spans="1:4" x14ac:dyDescent="0.25">
      <c r="A94"/>
      <c r="C94"/>
      <c r="D94"/>
    </row>
    <row r="95" spans="1:4" x14ac:dyDescent="0.25">
      <c r="A95"/>
      <c r="C95"/>
      <c r="D95"/>
    </row>
    <row r="96" spans="1:4" x14ac:dyDescent="0.25">
      <c r="A96"/>
      <c r="C96"/>
      <c r="D96"/>
    </row>
    <row r="97" spans="1:4" x14ac:dyDescent="0.25">
      <c r="A97"/>
      <c r="C97"/>
      <c r="D97"/>
    </row>
    <row r="98" spans="1:4" x14ac:dyDescent="0.25">
      <c r="A98"/>
      <c r="C98"/>
      <c r="D98"/>
    </row>
    <row r="99" spans="1:4" x14ac:dyDescent="0.25">
      <c r="A99"/>
      <c r="C99"/>
      <c r="D99"/>
    </row>
    <row r="100" spans="1:4" x14ac:dyDescent="0.25">
      <c r="A100"/>
      <c r="C100"/>
      <c r="D100"/>
    </row>
    <row r="101" spans="1:4" x14ac:dyDescent="0.25">
      <c r="A101"/>
      <c r="C101"/>
      <c r="D101"/>
    </row>
    <row r="102" spans="1:4" x14ac:dyDescent="0.25">
      <c r="A102"/>
      <c r="C102"/>
      <c r="D102"/>
    </row>
    <row r="103" spans="1:4" x14ac:dyDescent="0.25">
      <c r="A103"/>
      <c r="C103"/>
      <c r="D103"/>
    </row>
    <row r="104" spans="1:4" x14ac:dyDescent="0.25">
      <c r="A104"/>
      <c r="C104"/>
      <c r="D104"/>
    </row>
    <row r="105" spans="1:4" x14ac:dyDescent="0.25">
      <c r="A105"/>
      <c r="C105"/>
      <c r="D105"/>
    </row>
    <row r="106" spans="1:4" x14ac:dyDescent="0.25">
      <c r="A106"/>
      <c r="C106"/>
      <c r="D106"/>
    </row>
    <row r="107" spans="1:4" x14ac:dyDescent="0.25">
      <c r="A107"/>
      <c r="C107"/>
      <c r="D107"/>
    </row>
    <row r="108" spans="1:4" x14ac:dyDescent="0.25">
      <c r="A108"/>
      <c r="C108"/>
      <c r="D108"/>
    </row>
    <row r="109" spans="1:4" x14ac:dyDescent="0.25">
      <c r="A109"/>
      <c r="C109"/>
      <c r="D109"/>
    </row>
    <row r="110" spans="1:4" x14ac:dyDescent="0.25">
      <c r="A110"/>
    </row>
    <row r="111" spans="1:4" x14ac:dyDescent="0.25">
      <c r="A111"/>
    </row>
    <row r="112" spans="1:4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VINICIUS SANTANA HORTA</cp:lastModifiedBy>
  <dcterms:created xsi:type="dcterms:W3CDTF">2018-09-26T16:56:27Z</dcterms:created>
  <dcterms:modified xsi:type="dcterms:W3CDTF">2025-08-28T01:10:09Z</dcterms:modified>
</cp:coreProperties>
</file>